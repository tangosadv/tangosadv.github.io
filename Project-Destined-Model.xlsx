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ishchanthan/Downloads/"/>
    </mc:Choice>
  </mc:AlternateContent>
  <xr:revisionPtr revIDLastSave="0" documentId="8_{1713159E-6BC9-8043-B8C4-AA5AFCA46AA3}" xr6:coauthVersionLast="47" xr6:coauthVersionMax="47" xr10:uidLastSave="{00000000-0000-0000-0000-000000000000}"/>
  <bookViews>
    <workbookView xWindow="0" yWindow="760" windowWidth="23260" windowHeight="13180" xr2:uid="{1D3E8FD7-E0C1-44EF-8415-BAC47612C5DE}"/>
  </bookViews>
  <sheets>
    <sheet name="Assumptions &amp; Cash Flow" sheetId="1" r:id="rId1"/>
    <sheet name="Rent Roll" sheetId="3" r:id="rId2"/>
    <sheet name="Sources &amp; Uses" sheetId="2" r:id="rId3"/>
    <sheet name="Debt Sizing" sheetId="4" r:id="rId4"/>
    <sheet name="Debt Amortization Schedul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6" i="1" l="1"/>
  <c r="G16" i="1"/>
  <c r="L60" i="1"/>
  <c r="M60" i="1"/>
  <c r="N60" i="1"/>
  <c r="O60" i="1"/>
  <c r="P60" i="1"/>
  <c r="Q60" i="1"/>
  <c r="R60" i="1"/>
  <c r="S60" i="1"/>
  <c r="T60" i="1"/>
  <c r="U60" i="1"/>
  <c r="U59" i="1"/>
  <c r="U58" i="1"/>
  <c r="U57" i="1"/>
  <c r="M56" i="1"/>
  <c r="N56" i="1"/>
  <c r="O56" i="1"/>
  <c r="P56" i="1"/>
  <c r="Q56" i="1"/>
  <c r="R56" i="1"/>
  <c r="S56" i="1"/>
  <c r="T56" i="1"/>
  <c r="U56" i="1"/>
  <c r="L56" i="1"/>
  <c r="M40" i="1"/>
  <c r="N40" i="1"/>
  <c r="O40" i="1"/>
  <c r="P40" i="1"/>
  <c r="Q40" i="1"/>
  <c r="R40" i="1"/>
  <c r="S40" i="1"/>
  <c r="T40" i="1"/>
  <c r="U40" i="1"/>
  <c r="L40" i="1"/>
  <c r="U38" i="1"/>
  <c r="M38" i="1"/>
  <c r="N38" i="1"/>
  <c r="O38" i="1"/>
  <c r="P38" i="1"/>
  <c r="Q38" i="1"/>
  <c r="R38" i="1"/>
  <c r="S38" i="1"/>
  <c r="T38" i="1"/>
  <c r="L38" i="1"/>
  <c r="N37" i="1"/>
  <c r="O37" i="1" s="1"/>
  <c r="P37" i="1" s="1"/>
  <c r="Q37" i="1" s="1"/>
  <c r="R37" i="1" s="1"/>
  <c r="S37" i="1" s="1"/>
  <c r="T37" i="1" s="1"/>
  <c r="U37" i="1" s="1"/>
  <c r="M37" i="1"/>
  <c r="L37" i="1"/>
  <c r="B8" i="5"/>
  <c r="B7" i="5"/>
  <c r="B16" i="5"/>
  <c r="C16" i="5" s="1"/>
  <c r="E16" i="5"/>
  <c r="D16" i="5" s="1"/>
  <c r="F16" i="5"/>
  <c r="B17" i="5"/>
  <c r="C17" i="5"/>
  <c r="E17" i="5"/>
  <c r="D17" i="5" s="1"/>
  <c r="F17" i="5" s="1"/>
  <c r="B18" i="5"/>
  <c r="C18" i="5"/>
  <c r="E18" i="5"/>
  <c r="D18" i="5" s="1"/>
  <c r="F18" i="5" s="1"/>
  <c r="B19" i="5"/>
  <c r="C19" i="5" s="1"/>
  <c r="E19" i="5"/>
  <c r="D19" i="5" s="1"/>
  <c r="F19" i="5"/>
  <c r="B20" i="5" s="1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F15" i="5"/>
  <c r="E15" i="5"/>
  <c r="D15" i="5" s="1"/>
  <c r="C15" i="5"/>
  <c r="B15" i="5"/>
  <c r="F14" i="5"/>
  <c r="D14" i="5"/>
  <c r="E14" i="5"/>
  <c r="C14" i="5"/>
  <c r="B14" i="5"/>
  <c r="M47" i="1"/>
  <c r="N47" i="1"/>
  <c r="O47" i="1"/>
  <c r="P47" i="1"/>
  <c r="Q47" i="1"/>
  <c r="R47" i="1"/>
  <c r="S47" i="1"/>
  <c r="T47" i="1"/>
  <c r="U47" i="1"/>
  <c r="L47" i="1"/>
  <c r="U45" i="1"/>
  <c r="G58" i="1"/>
  <c r="G57" i="1"/>
  <c r="M44" i="1"/>
  <c r="N44" i="1"/>
  <c r="O44" i="1"/>
  <c r="P44" i="1"/>
  <c r="Q44" i="1"/>
  <c r="R44" i="1"/>
  <c r="S44" i="1"/>
  <c r="T44" i="1"/>
  <c r="U44" i="1"/>
  <c r="L44" i="1"/>
  <c r="M35" i="1"/>
  <c r="N35" i="1"/>
  <c r="O35" i="1"/>
  <c r="P35" i="1"/>
  <c r="Q35" i="1"/>
  <c r="R35" i="1"/>
  <c r="S35" i="1"/>
  <c r="T35" i="1"/>
  <c r="U35" i="1"/>
  <c r="L35" i="1"/>
  <c r="M33" i="1"/>
  <c r="N33" i="1"/>
  <c r="O33" i="1"/>
  <c r="P33" i="1"/>
  <c r="Q33" i="1"/>
  <c r="R33" i="1"/>
  <c r="S33" i="1"/>
  <c r="T33" i="1"/>
  <c r="U33" i="1"/>
  <c r="L33" i="1"/>
  <c r="M30" i="1"/>
  <c r="N30" i="1"/>
  <c r="O30" i="1"/>
  <c r="P30" i="1"/>
  <c r="Q30" i="1"/>
  <c r="R30" i="1"/>
  <c r="S30" i="1"/>
  <c r="T30" i="1"/>
  <c r="U30" i="1"/>
  <c r="V30" i="1"/>
  <c r="L30" i="1"/>
  <c r="D16" i="4"/>
  <c r="J11" i="4"/>
  <c r="J9" i="4"/>
  <c r="G11" i="4"/>
  <c r="D14" i="4"/>
  <c r="D11" i="4"/>
  <c r="G9" i="4"/>
  <c r="D9" i="4"/>
  <c r="M27" i="1"/>
  <c r="N27" i="1"/>
  <c r="O27" i="1"/>
  <c r="P27" i="1"/>
  <c r="Q27" i="1"/>
  <c r="R27" i="1"/>
  <c r="S27" i="1"/>
  <c r="T27" i="1"/>
  <c r="U27" i="1"/>
  <c r="V27" i="1"/>
  <c r="L27" i="1"/>
  <c r="M25" i="1"/>
  <c r="N25" i="1"/>
  <c r="O25" i="1"/>
  <c r="P25" i="1"/>
  <c r="Q25" i="1"/>
  <c r="R25" i="1"/>
  <c r="S25" i="1"/>
  <c r="T25" i="1"/>
  <c r="U25" i="1"/>
  <c r="V25" i="1"/>
  <c r="L25" i="1"/>
  <c r="N24" i="1"/>
  <c r="O24" i="1"/>
  <c r="P24" i="1"/>
  <c r="Q24" i="1"/>
  <c r="R24" i="1"/>
  <c r="S24" i="1"/>
  <c r="T24" i="1"/>
  <c r="U24" i="1"/>
  <c r="V24" i="1"/>
  <c r="M24" i="1"/>
  <c r="N23" i="1"/>
  <c r="O23" i="1"/>
  <c r="P23" i="1"/>
  <c r="Q23" i="1"/>
  <c r="R23" i="1"/>
  <c r="S23" i="1"/>
  <c r="T23" i="1"/>
  <c r="U23" i="1"/>
  <c r="V23" i="1"/>
  <c r="M23" i="1"/>
  <c r="L19" i="1"/>
  <c r="N17" i="1"/>
  <c r="O17" i="1" s="1"/>
  <c r="P17" i="1" s="1"/>
  <c r="Q17" i="1" s="1"/>
  <c r="R17" i="1" s="1"/>
  <c r="S17" i="1" s="1"/>
  <c r="T17" i="1" s="1"/>
  <c r="U17" i="1" s="1"/>
  <c r="V17" i="1" s="1"/>
  <c r="N18" i="1"/>
  <c r="O18" i="1"/>
  <c r="P18" i="1"/>
  <c r="Q18" i="1"/>
  <c r="R18" i="1"/>
  <c r="S18" i="1"/>
  <c r="T18" i="1"/>
  <c r="U18" i="1"/>
  <c r="V18" i="1" s="1"/>
  <c r="N19" i="1"/>
  <c r="O19" i="1" s="1"/>
  <c r="P19" i="1" s="1"/>
  <c r="Q19" i="1" s="1"/>
  <c r="R19" i="1" s="1"/>
  <c r="S19" i="1" s="1"/>
  <c r="T19" i="1" s="1"/>
  <c r="U19" i="1" s="1"/>
  <c r="V19" i="1" s="1"/>
  <c r="N20" i="1"/>
  <c r="O20" i="1"/>
  <c r="P20" i="1"/>
  <c r="Q20" i="1"/>
  <c r="R20" i="1"/>
  <c r="S20" i="1"/>
  <c r="T20" i="1" s="1"/>
  <c r="U20" i="1" s="1"/>
  <c r="V20" i="1" s="1"/>
  <c r="N21" i="1"/>
  <c r="O21" i="1"/>
  <c r="P21" i="1"/>
  <c r="Q21" i="1"/>
  <c r="R21" i="1"/>
  <c r="S21" i="1"/>
  <c r="T21" i="1"/>
  <c r="U21" i="1"/>
  <c r="V21" i="1"/>
  <c r="N16" i="1"/>
  <c r="O16" i="1" s="1"/>
  <c r="P16" i="1" s="1"/>
  <c r="Q16" i="1" s="1"/>
  <c r="R16" i="1" s="1"/>
  <c r="S16" i="1" s="1"/>
  <c r="T16" i="1" s="1"/>
  <c r="U16" i="1" s="1"/>
  <c r="V16" i="1" s="1"/>
  <c r="M17" i="1"/>
  <c r="M18" i="1"/>
  <c r="M19" i="1"/>
  <c r="M20" i="1"/>
  <c r="M21" i="1"/>
  <c r="M16" i="1"/>
  <c r="M22" i="1"/>
  <c r="N22" i="1"/>
  <c r="O22" i="1"/>
  <c r="P22" i="1"/>
  <c r="Q22" i="1"/>
  <c r="R22" i="1"/>
  <c r="S22" i="1"/>
  <c r="T22" i="1"/>
  <c r="U22" i="1"/>
  <c r="V22" i="1"/>
  <c r="L22" i="1"/>
  <c r="L17" i="1"/>
  <c r="L18" i="1"/>
  <c r="L20" i="1"/>
  <c r="L21" i="1"/>
  <c r="L23" i="1"/>
  <c r="L24" i="1"/>
  <c r="L16" i="1"/>
  <c r="L13" i="1"/>
  <c r="M12" i="1"/>
  <c r="M13" i="1" s="1"/>
  <c r="L12" i="1"/>
  <c r="M11" i="1"/>
  <c r="N11" i="1"/>
  <c r="O11" i="1"/>
  <c r="P11" i="1"/>
  <c r="Q11" i="1"/>
  <c r="R11" i="1"/>
  <c r="S11" i="1"/>
  <c r="T11" i="1"/>
  <c r="U11" i="1"/>
  <c r="V11" i="1"/>
  <c r="L11" i="1"/>
  <c r="M10" i="1"/>
  <c r="N10" i="1"/>
  <c r="O10" i="1"/>
  <c r="P10" i="1"/>
  <c r="Q10" i="1"/>
  <c r="R10" i="1"/>
  <c r="S10" i="1"/>
  <c r="T10" i="1"/>
  <c r="U10" i="1"/>
  <c r="V10" i="1"/>
  <c r="L10" i="1"/>
  <c r="J24" i="3"/>
  <c r="L21" i="3"/>
  <c r="M21" i="3"/>
  <c r="N21" i="3"/>
  <c r="O21" i="3"/>
  <c r="P21" i="3"/>
  <c r="Q21" i="3"/>
  <c r="R21" i="3"/>
  <c r="S21" i="3"/>
  <c r="T21" i="3"/>
  <c r="U21" i="3"/>
  <c r="K21" i="3"/>
  <c r="K17" i="3"/>
  <c r="L17" i="3"/>
  <c r="M17" i="3"/>
  <c r="N17" i="3"/>
  <c r="O17" i="3"/>
  <c r="P17" i="3"/>
  <c r="Q17" i="3"/>
  <c r="R17" i="3"/>
  <c r="S17" i="3"/>
  <c r="T17" i="3"/>
  <c r="U17" i="3"/>
  <c r="J17" i="3"/>
  <c r="J23" i="3" s="1"/>
  <c r="K15" i="3"/>
  <c r="L15" i="3"/>
  <c r="M15" i="3" s="1"/>
  <c r="N15" i="3" s="1"/>
  <c r="O15" i="3" s="1"/>
  <c r="P15" i="3" s="1"/>
  <c r="Q15" i="3" s="1"/>
  <c r="R15" i="3" s="1"/>
  <c r="S15" i="3" s="1"/>
  <c r="T15" i="3" s="1"/>
  <c r="U15" i="3" s="1"/>
  <c r="J15" i="3"/>
  <c r="J14" i="3"/>
  <c r="G36" i="3"/>
  <c r="E36" i="3"/>
  <c r="D36" i="3"/>
  <c r="C36" i="3"/>
  <c r="F36" i="3"/>
  <c r="F8" i="3"/>
  <c r="C20" i="5" l="1"/>
  <c r="D20" i="5"/>
  <c r="F20" i="5" s="1"/>
  <c r="B21" i="5" s="1"/>
  <c r="N12" i="1"/>
  <c r="B6" i="5"/>
  <c r="B5" i="5"/>
  <c r="B3" i="5"/>
  <c r="A315" i="5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14" i="5"/>
  <c r="C21" i="5" l="1"/>
  <c r="D21" i="5" s="1"/>
  <c r="F21" i="5" s="1"/>
  <c r="B22" i="5" s="1"/>
  <c r="O12" i="1"/>
  <c r="N13" i="1"/>
  <c r="K14" i="3"/>
  <c r="L9" i="1"/>
  <c r="G49" i="1"/>
  <c r="B4" i="5" s="1"/>
  <c r="D16" i="2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C22" i="5" l="1"/>
  <c r="D22" i="5" s="1"/>
  <c r="F22" i="5" s="1"/>
  <c r="B23" i="5" s="1"/>
  <c r="P12" i="1"/>
  <c r="O13" i="1"/>
  <c r="L63" i="1"/>
  <c r="J16" i="2"/>
  <c r="K43" i="1" s="1"/>
  <c r="K47" i="1" s="1"/>
  <c r="K50" i="1" s="1"/>
  <c r="D15" i="2"/>
  <c r="J15" i="2" s="1"/>
  <c r="C23" i="5" l="1"/>
  <c r="D23" i="5" s="1"/>
  <c r="F23" i="5" s="1"/>
  <c r="B24" i="5" s="1"/>
  <c r="Q12" i="1"/>
  <c r="P13" i="1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L6" i="3"/>
  <c r="M6" i="3" s="1"/>
  <c r="N6" i="3" s="1"/>
  <c r="O6" i="3" s="1"/>
  <c r="P6" i="3" s="1"/>
  <c r="Q6" i="3" s="1"/>
  <c r="R6" i="3" s="1"/>
  <c r="S6" i="3" s="1"/>
  <c r="T6" i="3" s="1"/>
  <c r="U6" i="3" s="1"/>
  <c r="K7" i="1"/>
  <c r="L6" i="1"/>
  <c r="M6" i="1" s="1"/>
  <c r="C24" i="5" l="1"/>
  <c r="D24" i="5" s="1"/>
  <c r="F24" i="5" s="1"/>
  <c r="B25" i="5" s="1"/>
  <c r="R12" i="1"/>
  <c r="Q13" i="1"/>
  <c r="B2" i="5"/>
  <c r="L7" i="1"/>
  <c r="M7" i="1" s="1"/>
  <c r="N7" i="1" s="1"/>
  <c r="O7" i="1" s="1"/>
  <c r="P7" i="1" s="1"/>
  <c r="Q7" i="1" s="1"/>
  <c r="R7" i="1" s="1"/>
  <c r="S7" i="1" s="1"/>
  <c r="T7" i="1" s="1"/>
  <c r="U7" i="1" s="1"/>
  <c r="V7" i="1" s="1"/>
  <c r="J7" i="3"/>
  <c r="L14" i="3"/>
  <c r="C6" i="2"/>
  <c r="D19" i="2" s="1"/>
  <c r="N6" i="1"/>
  <c r="C25" i="5" l="1"/>
  <c r="D25" i="5" s="1"/>
  <c r="F25" i="5" s="1"/>
  <c r="B26" i="5" s="1"/>
  <c r="S12" i="1"/>
  <c r="R13" i="1"/>
  <c r="K7" i="3"/>
  <c r="L7" i="3" s="1"/>
  <c r="M7" i="3" s="1"/>
  <c r="N7" i="3" s="1"/>
  <c r="O7" i="3" s="1"/>
  <c r="P7" i="3" s="1"/>
  <c r="Q7" i="3" s="1"/>
  <c r="R7" i="3" s="1"/>
  <c r="S7" i="3" s="1"/>
  <c r="T7" i="3" s="1"/>
  <c r="U7" i="3" s="1"/>
  <c r="M14" i="3"/>
  <c r="H11" i="2"/>
  <c r="G19" i="2"/>
  <c r="J19" i="2" s="1"/>
  <c r="K19" i="2" s="1"/>
  <c r="K16" i="2"/>
  <c r="E15" i="2"/>
  <c r="H17" i="2"/>
  <c r="H16" i="2"/>
  <c r="H15" i="2"/>
  <c r="E16" i="2"/>
  <c r="K15" i="2"/>
  <c r="D18" i="2"/>
  <c r="O6" i="1"/>
  <c r="C26" i="5" l="1"/>
  <c r="D26" i="5" s="1"/>
  <c r="F26" i="5"/>
  <c r="B27" i="5" s="1"/>
  <c r="T12" i="1"/>
  <c r="S13" i="1"/>
  <c r="M9" i="1"/>
  <c r="N14" i="3"/>
  <c r="P6" i="1"/>
  <c r="C27" i="5" l="1"/>
  <c r="D27" i="5" s="1"/>
  <c r="F27" i="5" s="1"/>
  <c r="B28" i="5" s="1"/>
  <c r="U12" i="1"/>
  <c r="T13" i="1"/>
  <c r="M63" i="1"/>
  <c r="N9" i="1"/>
  <c r="O14" i="3"/>
  <c r="Q6" i="1"/>
  <c r="C28" i="5" l="1"/>
  <c r="D28" i="5" s="1"/>
  <c r="F28" i="5" s="1"/>
  <c r="B29" i="5" s="1"/>
  <c r="V12" i="1"/>
  <c r="V13" i="1" s="1"/>
  <c r="U13" i="1"/>
  <c r="O9" i="1"/>
  <c r="P14" i="3"/>
  <c r="N63" i="1"/>
  <c r="G19" i="1"/>
  <c r="R6" i="1"/>
  <c r="C29" i="5" l="1"/>
  <c r="D29" i="5" s="1"/>
  <c r="F29" i="5" s="1"/>
  <c r="B30" i="5" s="1"/>
  <c r="P9" i="1"/>
  <c r="Q14" i="3"/>
  <c r="S6" i="1"/>
  <c r="C30" i="5" l="1"/>
  <c r="D30" i="5" s="1"/>
  <c r="F30" i="5" s="1"/>
  <c r="B31" i="5" s="1"/>
  <c r="O63" i="1"/>
  <c r="Q9" i="1"/>
  <c r="R14" i="3"/>
  <c r="L48" i="1"/>
  <c r="T6" i="1"/>
  <c r="M48" i="1"/>
  <c r="C31" i="5" l="1"/>
  <c r="D31" i="5" s="1"/>
  <c r="F31" i="5"/>
  <c r="B32" i="5" s="1"/>
  <c r="P63" i="1"/>
  <c r="S14" i="3"/>
  <c r="R9" i="1"/>
  <c r="G48" i="1"/>
  <c r="U6" i="1"/>
  <c r="C32" i="5" l="1"/>
  <c r="D32" i="5" s="1"/>
  <c r="F32" i="5"/>
  <c r="B33" i="5" s="1"/>
  <c r="T14" i="3"/>
  <c r="Q63" i="1"/>
  <c r="S9" i="1"/>
  <c r="G18" i="1"/>
  <c r="N62" i="1"/>
  <c r="P62" i="1"/>
  <c r="O62" i="1"/>
  <c r="L62" i="1"/>
  <c r="M62" i="1"/>
  <c r="D11" i="2"/>
  <c r="E11" i="2" s="1"/>
  <c r="V6" i="1"/>
  <c r="Q62" i="1"/>
  <c r="C33" i="5" l="1"/>
  <c r="D33" i="5" s="1"/>
  <c r="F33" i="5" s="1"/>
  <c r="B34" i="5" s="1"/>
  <c r="S63" i="1"/>
  <c r="U14" i="3"/>
  <c r="T9" i="1"/>
  <c r="R63" i="1"/>
  <c r="R62" i="1"/>
  <c r="J11" i="2"/>
  <c r="D17" i="2" s="1"/>
  <c r="C34" i="5" l="1"/>
  <c r="D34" i="5" s="1"/>
  <c r="F34" i="5" s="1"/>
  <c r="B35" i="5" s="1"/>
  <c r="U9" i="1"/>
  <c r="V9" i="1"/>
  <c r="K11" i="2"/>
  <c r="S62" i="1"/>
  <c r="C35" i="5" l="1"/>
  <c r="D35" i="5" s="1"/>
  <c r="F35" i="5"/>
  <c r="B36" i="5" s="1"/>
  <c r="T63" i="1"/>
  <c r="J17" i="2"/>
  <c r="D20" i="2"/>
  <c r="E17" i="2"/>
  <c r="E20" i="2" s="1"/>
  <c r="T62" i="1"/>
  <c r="C36" i="5" l="1"/>
  <c r="D36" i="5" s="1"/>
  <c r="F36" i="5" s="1"/>
  <c r="B37" i="5" s="1"/>
  <c r="U63" i="1"/>
  <c r="F17" i="2"/>
  <c r="F16" i="2"/>
  <c r="F19" i="2"/>
  <c r="F15" i="2"/>
  <c r="F20" i="2"/>
  <c r="F18" i="2"/>
  <c r="D12" i="2"/>
  <c r="K55" i="1" s="1"/>
  <c r="K60" i="1" s="1"/>
  <c r="K65" i="1" s="1"/>
  <c r="K17" i="2"/>
  <c r="U62" i="1"/>
  <c r="C37" i="5" l="1"/>
  <c r="D37" i="5" s="1"/>
  <c r="F37" i="5" s="1"/>
  <c r="B38" i="5" s="1"/>
  <c r="E12" i="2"/>
  <c r="E13" i="2" s="1"/>
  <c r="D13" i="2"/>
  <c r="C38" i="5" l="1"/>
  <c r="D38" i="5" s="1"/>
  <c r="F38" i="5" s="1"/>
  <c r="B39" i="5" s="1"/>
  <c r="T61" i="1"/>
  <c r="F12" i="2"/>
  <c r="F13" i="2"/>
  <c r="F11" i="2"/>
  <c r="P61" i="1"/>
  <c r="R61" i="1"/>
  <c r="N61" i="1"/>
  <c r="O61" i="1"/>
  <c r="M61" i="1"/>
  <c r="L61" i="1"/>
  <c r="Q61" i="1"/>
  <c r="S61" i="1"/>
  <c r="C39" i="5" l="1"/>
  <c r="D39" i="5" s="1"/>
  <c r="F39" i="5"/>
  <c r="B40" i="5" s="1"/>
  <c r="S48" i="1"/>
  <c r="K67" i="1"/>
  <c r="U61" i="1"/>
  <c r="K66" i="1"/>
  <c r="C40" i="5" l="1"/>
  <c r="D40" i="5" s="1"/>
  <c r="F40" i="5" s="1"/>
  <c r="B41" i="5" s="1"/>
  <c r="P48" i="1"/>
  <c r="R48" i="1"/>
  <c r="Q48" i="1"/>
  <c r="T48" i="1"/>
  <c r="N48" i="1"/>
  <c r="O48" i="1"/>
  <c r="C41" i="5" l="1"/>
  <c r="D41" i="5" s="1"/>
  <c r="F41" i="5" s="1"/>
  <c r="B42" i="5" s="1"/>
  <c r="K51" i="1"/>
  <c r="K52" i="1"/>
  <c r="U48" i="1"/>
  <c r="C42" i="5" l="1"/>
  <c r="D42" i="5" s="1"/>
  <c r="F42" i="5" s="1"/>
  <c r="B43" i="5" s="1"/>
  <c r="H18" i="2"/>
  <c r="G18" i="2" s="1"/>
  <c r="J18" i="2" s="1"/>
  <c r="J20" i="2" s="1"/>
  <c r="F43" i="5" l="1"/>
  <c r="B44" i="5" s="1"/>
  <c r="C43" i="5"/>
  <c r="D43" i="5" s="1"/>
  <c r="H20" i="2"/>
  <c r="L15" i="2"/>
  <c r="L17" i="2"/>
  <c r="L16" i="2"/>
  <c r="L19" i="2"/>
  <c r="L18" i="2"/>
  <c r="G20" i="2"/>
  <c r="K18" i="2"/>
  <c r="K20" i="2" s="1"/>
  <c r="C44" i="5" l="1"/>
  <c r="D44" i="5" s="1"/>
  <c r="F44" i="5" s="1"/>
  <c r="B45" i="5" s="1"/>
  <c r="G12" i="2"/>
  <c r="I15" i="2"/>
  <c r="I16" i="2"/>
  <c r="I19" i="2"/>
  <c r="I17" i="2"/>
  <c r="I20" i="2"/>
  <c r="I18" i="2"/>
  <c r="L20" i="2"/>
  <c r="C45" i="5" l="1"/>
  <c r="D45" i="5" s="1"/>
  <c r="F45" i="5" s="1"/>
  <c r="B46" i="5" s="1"/>
  <c r="J12" i="2"/>
  <c r="G13" i="2"/>
  <c r="H12" i="2"/>
  <c r="H13" i="2" s="1"/>
  <c r="C46" i="5" l="1"/>
  <c r="D46" i="5" s="1"/>
  <c r="F46" i="5"/>
  <c r="B47" i="5" s="1"/>
  <c r="I11" i="2"/>
  <c r="I13" i="2"/>
  <c r="K12" i="2"/>
  <c r="K13" i="2" s="1"/>
  <c r="J13" i="2"/>
  <c r="L11" i="2" s="1"/>
  <c r="I12" i="2"/>
  <c r="C47" i="5" l="1"/>
  <c r="D47" i="5" s="1"/>
  <c r="F47" i="5" s="1"/>
  <c r="B48" i="5" s="1"/>
  <c r="L12" i="2"/>
  <c r="L13" i="2" s="1"/>
  <c r="C48" i="5" l="1"/>
  <c r="D48" i="5" s="1"/>
  <c r="F48" i="5" s="1"/>
  <c r="B49" i="5" s="1"/>
  <c r="C49" i="5" l="1"/>
  <c r="D49" i="5" s="1"/>
  <c r="F49" i="5"/>
  <c r="B50" i="5" s="1"/>
  <c r="C50" i="5" l="1"/>
  <c r="D50" i="5" s="1"/>
  <c r="F50" i="5" s="1"/>
  <c r="B51" i="5" s="1"/>
  <c r="C51" i="5" l="1"/>
  <c r="D51" i="5" s="1"/>
  <c r="F51" i="5"/>
  <c r="B52" i="5" s="1"/>
  <c r="C52" i="5" l="1"/>
  <c r="D52" i="5" s="1"/>
  <c r="F52" i="5" s="1"/>
  <c r="B53" i="5" s="1"/>
  <c r="C53" i="5" l="1"/>
  <c r="D53" i="5" s="1"/>
  <c r="F53" i="5" s="1"/>
  <c r="B54" i="5" s="1"/>
  <c r="C54" i="5" l="1"/>
  <c r="D54" i="5" s="1"/>
  <c r="F54" i="5" s="1"/>
  <c r="B55" i="5" s="1"/>
  <c r="C55" i="5" l="1"/>
  <c r="D55" i="5" s="1"/>
  <c r="F55" i="5" s="1"/>
  <c r="B56" i="5" s="1"/>
  <c r="C56" i="5" l="1"/>
  <c r="D56" i="5" s="1"/>
  <c r="F56" i="5"/>
  <c r="B57" i="5" s="1"/>
  <c r="C57" i="5" l="1"/>
  <c r="D57" i="5" s="1"/>
  <c r="F57" i="5" s="1"/>
  <c r="B58" i="5" s="1"/>
  <c r="C58" i="5" l="1"/>
  <c r="D58" i="5" s="1"/>
  <c r="F58" i="5" s="1"/>
  <c r="B59" i="5" s="1"/>
  <c r="C59" i="5" l="1"/>
  <c r="D59" i="5" s="1"/>
  <c r="F59" i="5" s="1"/>
  <c r="B60" i="5" s="1"/>
  <c r="C60" i="5" l="1"/>
  <c r="D60" i="5" s="1"/>
  <c r="F60" i="5" s="1"/>
  <c r="B61" i="5" s="1"/>
  <c r="C61" i="5" l="1"/>
  <c r="D61" i="5" s="1"/>
  <c r="F61" i="5"/>
  <c r="B62" i="5" s="1"/>
  <c r="F62" i="5" l="1"/>
  <c r="B63" i="5" s="1"/>
  <c r="C62" i="5"/>
  <c r="D62" i="5" s="1"/>
  <c r="C63" i="5" l="1"/>
  <c r="D63" i="5" s="1"/>
  <c r="F63" i="5" s="1"/>
  <c r="B64" i="5" s="1"/>
  <c r="C64" i="5" l="1"/>
  <c r="D64" i="5" s="1"/>
  <c r="F64" i="5" s="1"/>
  <c r="B65" i="5" s="1"/>
  <c r="C65" i="5" l="1"/>
  <c r="D65" i="5" s="1"/>
  <c r="F65" i="5" s="1"/>
  <c r="B66" i="5" s="1"/>
  <c r="C66" i="5" l="1"/>
  <c r="D66" i="5" s="1"/>
  <c r="F66" i="5"/>
  <c r="B67" i="5" s="1"/>
  <c r="C67" i="5" l="1"/>
  <c r="D67" i="5" s="1"/>
  <c r="F67" i="5" s="1"/>
  <c r="B68" i="5" s="1"/>
  <c r="C68" i="5" l="1"/>
  <c r="D68" i="5" s="1"/>
  <c r="F68" i="5" s="1"/>
  <c r="B69" i="5" s="1"/>
  <c r="C69" i="5" l="1"/>
  <c r="D69" i="5" s="1"/>
  <c r="F69" i="5"/>
  <c r="B70" i="5" s="1"/>
  <c r="C70" i="5" l="1"/>
  <c r="D70" i="5" s="1"/>
  <c r="F70" i="5" s="1"/>
  <c r="B71" i="5" s="1"/>
  <c r="C71" i="5" l="1"/>
  <c r="D71" i="5" s="1"/>
  <c r="F71" i="5"/>
  <c r="B72" i="5" s="1"/>
  <c r="C72" i="5" l="1"/>
  <c r="D72" i="5" s="1"/>
  <c r="F72" i="5" s="1"/>
  <c r="B73" i="5" s="1"/>
  <c r="C73" i="5" l="1"/>
  <c r="D73" i="5" s="1"/>
  <c r="F73" i="5" s="1"/>
  <c r="B74" i="5" s="1"/>
  <c r="C74" i="5" l="1"/>
  <c r="D74" i="5" s="1"/>
  <c r="F74" i="5" s="1"/>
  <c r="B75" i="5" s="1"/>
  <c r="C75" i="5" l="1"/>
  <c r="D75" i="5" s="1"/>
  <c r="F75" i="5"/>
  <c r="B76" i="5" s="1"/>
  <c r="C76" i="5" l="1"/>
  <c r="D76" i="5" s="1"/>
  <c r="F76" i="5" s="1"/>
  <c r="B77" i="5" s="1"/>
  <c r="C77" i="5" l="1"/>
  <c r="D77" i="5" s="1"/>
  <c r="F77" i="5" s="1"/>
  <c r="B78" i="5" s="1"/>
  <c r="C78" i="5" l="1"/>
  <c r="D78" i="5" s="1"/>
  <c r="F78" i="5" s="1"/>
  <c r="B79" i="5" s="1"/>
  <c r="C79" i="5" l="1"/>
  <c r="D79" i="5" s="1"/>
  <c r="F79" i="5" s="1"/>
  <c r="B80" i="5" s="1"/>
  <c r="C80" i="5" l="1"/>
  <c r="D80" i="5" s="1"/>
  <c r="F80" i="5"/>
  <c r="B81" i="5" s="1"/>
  <c r="F81" i="5" l="1"/>
  <c r="B82" i="5" s="1"/>
  <c r="C81" i="5"/>
  <c r="D81" i="5" s="1"/>
  <c r="C82" i="5" l="1"/>
  <c r="D82" i="5" s="1"/>
  <c r="F82" i="5" s="1"/>
  <c r="B83" i="5" s="1"/>
  <c r="C83" i="5" l="1"/>
  <c r="D83" i="5" s="1"/>
  <c r="F83" i="5" s="1"/>
  <c r="B84" i="5" s="1"/>
  <c r="C84" i="5" l="1"/>
  <c r="D84" i="5" s="1"/>
  <c r="F84" i="5" s="1"/>
  <c r="B85" i="5" s="1"/>
  <c r="C85" i="5" l="1"/>
  <c r="D85" i="5" s="1"/>
  <c r="F85" i="5"/>
  <c r="B86" i="5" s="1"/>
  <c r="C86" i="5" l="1"/>
  <c r="D86" i="5" s="1"/>
  <c r="F86" i="5" s="1"/>
  <c r="B87" i="5" s="1"/>
  <c r="C87" i="5" l="1"/>
  <c r="D87" i="5" s="1"/>
  <c r="F87" i="5" s="1"/>
  <c r="B88" i="5" s="1"/>
  <c r="C88" i="5" l="1"/>
  <c r="D88" i="5" s="1"/>
  <c r="F88" i="5"/>
  <c r="B89" i="5" s="1"/>
  <c r="C89" i="5" l="1"/>
  <c r="D89" i="5" s="1"/>
  <c r="F89" i="5" s="1"/>
  <c r="B90" i="5" s="1"/>
  <c r="C90" i="5" l="1"/>
  <c r="D90" i="5" s="1"/>
  <c r="F90" i="5" s="1"/>
  <c r="B91" i="5" s="1"/>
  <c r="C91" i="5" l="1"/>
  <c r="D91" i="5" s="1"/>
  <c r="F91" i="5" s="1"/>
  <c r="B92" i="5" s="1"/>
  <c r="C92" i="5" l="1"/>
  <c r="D92" i="5" s="1"/>
  <c r="F92" i="5" s="1"/>
  <c r="B93" i="5" s="1"/>
  <c r="C93" i="5" l="1"/>
  <c r="D93" i="5" s="1"/>
  <c r="F93" i="5" s="1"/>
  <c r="B94" i="5" s="1"/>
  <c r="C94" i="5" l="1"/>
  <c r="D94" i="5" s="1"/>
  <c r="F94" i="5" s="1"/>
  <c r="B95" i="5" s="1"/>
  <c r="C95" i="5" l="1"/>
  <c r="D95" i="5" s="1"/>
  <c r="F95" i="5"/>
  <c r="B96" i="5" s="1"/>
  <c r="C96" i="5" l="1"/>
  <c r="D96" i="5" s="1"/>
  <c r="F96" i="5"/>
  <c r="B97" i="5" s="1"/>
  <c r="C97" i="5" l="1"/>
  <c r="D97" i="5" s="1"/>
  <c r="F97" i="5" s="1"/>
  <c r="B98" i="5" s="1"/>
  <c r="C98" i="5" l="1"/>
  <c r="D98" i="5" s="1"/>
  <c r="F98" i="5" s="1"/>
  <c r="B99" i="5" s="1"/>
  <c r="C99" i="5" l="1"/>
  <c r="D99" i="5" s="1"/>
  <c r="F99" i="5" s="1"/>
  <c r="B100" i="5" s="1"/>
  <c r="C100" i="5" l="1"/>
  <c r="D100" i="5" s="1"/>
  <c r="F100" i="5" s="1"/>
  <c r="B101" i="5" s="1"/>
  <c r="C101" i="5" l="1"/>
  <c r="D101" i="5" s="1"/>
  <c r="F101" i="5" s="1"/>
  <c r="B102" i="5" s="1"/>
  <c r="C102" i="5" l="1"/>
  <c r="D102" i="5" s="1"/>
  <c r="F102" i="5" s="1"/>
  <c r="B103" i="5" s="1"/>
  <c r="C103" i="5" l="1"/>
  <c r="D103" i="5" s="1"/>
  <c r="F103" i="5"/>
  <c r="B104" i="5" s="1"/>
  <c r="C104" i="5" l="1"/>
  <c r="D104" i="5" s="1"/>
  <c r="F104" i="5" s="1"/>
  <c r="B105" i="5" s="1"/>
  <c r="C105" i="5" l="1"/>
  <c r="D105" i="5" s="1"/>
  <c r="F105" i="5" s="1"/>
  <c r="B106" i="5" s="1"/>
  <c r="C106" i="5" l="1"/>
  <c r="D106" i="5" s="1"/>
  <c r="F106" i="5" s="1"/>
  <c r="B107" i="5" s="1"/>
  <c r="C107" i="5" l="1"/>
  <c r="D107" i="5" s="1"/>
  <c r="F107" i="5" s="1"/>
  <c r="B108" i="5" s="1"/>
  <c r="C108" i="5" l="1"/>
  <c r="D108" i="5" s="1"/>
  <c r="F108" i="5" s="1"/>
  <c r="B109" i="5" s="1"/>
  <c r="C109" i="5" l="1"/>
  <c r="D109" i="5" s="1"/>
  <c r="F109" i="5" s="1"/>
  <c r="B110" i="5" s="1"/>
  <c r="C110" i="5" l="1"/>
  <c r="D110" i="5" s="1"/>
  <c r="F110" i="5"/>
  <c r="B111" i="5" s="1"/>
  <c r="C111" i="5" l="1"/>
  <c r="D111" i="5" s="1"/>
  <c r="F111" i="5" s="1"/>
  <c r="B112" i="5" s="1"/>
  <c r="C112" i="5" l="1"/>
  <c r="D112" i="5" s="1"/>
  <c r="F112" i="5" s="1"/>
  <c r="B113" i="5" s="1"/>
  <c r="C113" i="5" l="1"/>
  <c r="D113" i="5" s="1"/>
  <c r="F113" i="5"/>
  <c r="B114" i="5" s="1"/>
  <c r="C114" i="5" l="1"/>
  <c r="D114" i="5" s="1"/>
  <c r="F114" i="5"/>
  <c r="B115" i="5" s="1"/>
  <c r="C115" i="5" l="1"/>
  <c r="D115" i="5" s="1"/>
  <c r="F115" i="5" s="1"/>
  <c r="B116" i="5" s="1"/>
  <c r="C116" i="5" l="1"/>
  <c r="D116" i="5" s="1"/>
  <c r="F116" i="5" s="1"/>
  <c r="B117" i="5" s="1"/>
  <c r="C117" i="5" l="1"/>
  <c r="D117" i="5" s="1"/>
  <c r="F117" i="5" s="1"/>
  <c r="B118" i="5" s="1"/>
  <c r="C118" i="5" l="1"/>
  <c r="D118" i="5" s="1"/>
  <c r="F118" i="5" s="1"/>
  <c r="B119" i="5" s="1"/>
  <c r="C119" i="5" l="1"/>
  <c r="D119" i="5" s="1"/>
  <c r="F119" i="5" s="1"/>
  <c r="B120" i="5" s="1"/>
  <c r="C120" i="5" l="1"/>
  <c r="D120" i="5" s="1"/>
  <c r="F120" i="5" s="1"/>
  <c r="B121" i="5" s="1"/>
  <c r="C121" i="5" l="1"/>
  <c r="D121" i="5" s="1"/>
  <c r="F121" i="5" s="1"/>
  <c r="B122" i="5" s="1"/>
  <c r="C122" i="5" l="1"/>
  <c r="D122" i="5" s="1"/>
  <c r="F122" i="5" s="1"/>
  <c r="B123" i="5" s="1"/>
  <c r="C123" i="5" l="1"/>
  <c r="D123" i="5" s="1"/>
  <c r="F123" i="5"/>
  <c r="B124" i="5" s="1"/>
  <c r="C124" i="5" l="1"/>
  <c r="D124" i="5" s="1"/>
  <c r="F124" i="5" s="1"/>
  <c r="B125" i="5" s="1"/>
  <c r="C125" i="5" l="1"/>
  <c r="D125" i="5" s="1"/>
  <c r="F125" i="5" s="1"/>
  <c r="B126" i="5" s="1"/>
  <c r="C126" i="5" l="1"/>
  <c r="D126" i="5" s="1"/>
  <c r="F126" i="5" s="1"/>
  <c r="B127" i="5" s="1"/>
  <c r="C127" i="5" l="1"/>
  <c r="D127" i="5" s="1"/>
  <c r="F127" i="5" s="1"/>
  <c r="B128" i="5" s="1"/>
  <c r="C128" i="5" l="1"/>
  <c r="D128" i="5" s="1"/>
  <c r="F128" i="5"/>
  <c r="B129" i="5" s="1"/>
  <c r="C129" i="5" l="1"/>
  <c r="D129" i="5" s="1"/>
  <c r="F129" i="5" s="1"/>
  <c r="B130" i="5" s="1"/>
  <c r="C130" i="5" l="1"/>
  <c r="D130" i="5" s="1"/>
  <c r="F130" i="5"/>
  <c r="B131" i="5" s="1"/>
  <c r="C131" i="5" l="1"/>
  <c r="D131" i="5" s="1"/>
  <c r="F131" i="5"/>
  <c r="B132" i="5" s="1"/>
  <c r="C132" i="5" l="1"/>
  <c r="D132" i="5" s="1"/>
  <c r="F132" i="5"/>
  <c r="B133" i="5" s="1"/>
  <c r="C133" i="5" l="1"/>
  <c r="D133" i="5" s="1"/>
  <c r="F133" i="5" s="1"/>
  <c r="B134" i="5" s="1"/>
  <c r="C134" i="5" l="1"/>
  <c r="D134" i="5" s="1"/>
  <c r="F134" i="5"/>
  <c r="B135" i="5" s="1"/>
  <c r="C135" i="5" l="1"/>
  <c r="D135" i="5" s="1"/>
  <c r="F135" i="5" s="1"/>
  <c r="B136" i="5" s="1"/>
  <c r="C136" i="5" l="1"/>
  <c r="D136" i="5" s="1"/>
  <c r="F136" i="5" s="1"/>
  <c r="B137" i="5" s="1"/>
  <c r="C137" i="5" l="1"/>
  <c r="D137" i="5" s="1"/>
  <c r="F137" i="5" s="1"/>
  <c r="B138" i="5" s="1"/>
  <c r="C138" i="5" l="1"/>
  <c r="D138" i="5" s="1"/>
  <c r="F138" i="5" s="1"/>
  <c r="B139" i="5" s="1"/>
  <c r="C139" i="5" l="1"/>
  <c r="D139" i="5" s="1"/>
  <c r="F139" i="5"/>
  <c r="B140" i="5" s="1"/>
  <c r="C140" i="5" l="1"/>
  <c r="D140" i="5" s="1"/>
  <c r="F140" i="5" s="1"/>
  <c r="B141" i="5" s="1"/>
  <c r="C141" i="5" l="1"/>
  <c r="D141" i="5" s="1"/>
  <c r="F141" i="5" s="1"/>
  <c r="B142" i="5" s="1"/>
  <c r="C142" i="5" l="1"/>
  <c r="D142" i="5" s="1"/>
  <c r="F142" i="5" s="1"/>
  <c r="B143" i="5" s="1"/>
  <c r="C143" i="5" l="1"/>
  <c r="D143" i="5" s="1"/>
  <c r="F143" i="5"/>
  <c r="B144" i="5" s="1"/>
  <c r="C144" i="5" l="1"/>
  <c r="D144" i="5" s="1"/>
  <c r="F144" i="5"/>
  <c r="B145" i="5" s="1"/>
  <c r="C145" i="5" l="1"/>
  <c r="D145" i="5" s="1"/>
  <c r="F145" i="5" s="1"/>
  <c r="B146" i="5" s="1"/>
  <c r="C146" i="5" l="1"/>
  <c r="D146" i="5" s="1"/>
  <c r="F146" i="5"/>
  <c r="B147" i="5" s="1"/>
  <c r="C147" i="5" l="1"/>
  <c r="D147" i="5" s="1"/>
  <c r="F147" i="5"/>
  <c r="B148" i="5" s="1"/>
  <c r="C148" i="5" l="1"/>
  <c r="D148" i="5" s="1"/>
  <c r="F148" i="5"/>
  <c r="B149" i="5" s="1"/>
  <c r="C149" i="5" l="1"/>
  <c r="D149" i="5" s="1"/>
  <c r="F149" i="5" s="1"/>
  <c r="B150" i="5" s="1"/>
  <c r="C150" i="5" l="1"/>
  <c r="D150" i="5" s="1"/>
  <c r="F150" i="5" s="1"/>
  <c r="B151" i="5" s="1"/>
  <c r="C151" i="5" l="1"/>
  <c r="D151" i="5" s="1"/>
  <c r="F151" i="5" s="1"/>
  <c r="B152" i="5" s="1"/>
  <c r="C152" i="5" l="1"/>
  <c r="D152" i="5" s="1"/>
  <c r="F152" i="5" s="1"/>
  <c r="B153" i="5" s="1"/>
  <c r="C153" i="5" l="1"/>
  <c r="D153" i="5" s="1"/>
  <c r="F153" i="5" s="1"/>
  <c r="B154" i="5" s="1"/>
  <c r="C154" i="5" l="1"/>
  <c r="D154" i="5" s="1"/>
  <c r="F154" i="5" s="1"/>
  <c r="B155" i="5" s="1"/>
  <c r="C155" i="5" l="1"/>
  <c r="D155" i="5" s="1"/>
  <c r="F155" i="5"/>
  <c r="B156" i="5" s="1"/>
  <c r="C156" i="5" l="1"/>
  <c r="D156" i="5" s="1"/>
  <c r="F156" i="5" s="1"/>
  <c r="B157" i="5" s="1"/>
  <c r="C157" i="5" l="1"/>
  <c r="D157" i="5" s="1"/>
  <c r="F157" i="5"/>
  <c r="B158" i="5" s="1"/>
  <c r="C158" i="5" l="1"/>
  <c r="D158" i="5" s="1"/>
  <c r="F158" i="5" s="1"/>
  <c r="B159" i="5" s="1"/>
  <c r="C159" i="5" l="1"/>
  <c r="D159" i="5" s="1"/>
  <c r="F159" i="5"/>
  <c r="B160" i="5" s="1"/>
  <c r="C160" i="5" l="1"/>
  <c r="D160" i="5" s="1"/>
  <c r="F160" i="5"/>
  <c r="B161" i="5" s="1"/>
  <c r="C161" i="5" l="1"/>
  <c r="D161" i="5" s="1"/>
  <c r="F161" i="5"/>
  <c r="B162" i="5" s="1"/>
  <c r="C162" i="5" l="1"/>
  <c r="D162" i="5" s="1"/>
  <c r="F162" i="5" s="1"/>
  <c r="B163" i="5" s="1"/>
  <c r="C163" i="5" l="1"/>
  <c r="D163" i="5" s="1"/>
  <c r="F163" i="5"/>
  <c r="B164" i="5" s="1"/>
  <c r="C164" i="5" l="1"/>
  <c r="D164" i="5" s="1"/>
  <c r="F164" i="5"/>
  <c r="B165" i="5" s="1"/>
  <c r="C165" i="5" l="1"/>
  <c r="D165" i="5" s="1"/>
  <c r="F165" i="5" s="1"/>
  <c r="B166" i="5" s="1"/>
  <c r="C166" i="5" l="1"/>
  <c r="D166" i="5" s="1"/>
  <c r="F166" i="5"/>
  <c r="B167" i="5" s="1"/>
  <c r="C167" i="5" l="1"/>
  <c r="D167" i="5" s="1"/>
  <c r="F167" i="5" s="1"/>
  <c r="B168" i="5" s="1"/>
  <c r="C168" i="5" l="1"/>
  <c r="D168" i="5" s="1"/>
  <c r="F168" i="5"/>
  <c r="B169" i="5" s="1"/>
  <c r="C169" i="5" l="1"/>
  <c r="D169" i="5" s="1"/>
  <c r="F169" i="5" s="1"/>
  <c r="B170" i="5" s="1"/>
  <c r="C170" i="5" l="1"/>
  <c r="D170" i="5" s="1"/>
  <c r="F170" i="5" s="1"/>
  <c r="B171" i="5" s="1"/>
  <c r="C171" i="5" l="1"/>
  <c r="D171" i="5" s="1"/>
  <c r="F171" i="5"/>
  <c r="B172" i="5" s="1"/>
  <c r="C172" i="5" l="1"/>
  <c r="D172" i="5" s="1"/>
  <c r="F172" i="5" s="1"/>
  <c r="B173" i="5" s="1"/>
  <c r="C173" i="5" l="1"/>
  <c r="D173" i="5" s="1"/>
  <c r="F173" i="5"/>
  <c r="B174" i="5" s="1"/>
  <c r="C174" i="5" l="1"/>
  <c r="D174" i="5" s="1"/>
  <c r="F174" i="5" s="1"/>
  <c r="B175" i="5" s="1"/>
  <c r="C175" i="5" l="1"/>
  <c r="D175" i="5" s="1"/>
  <c r="F175" i="5" s="1"/>
  <c r="B176" i="5" s="1"/>
  <c r="C176" i="5" l="1"/>
  <c r="D176" i="5" s="1"/>
  <c r="F176" i="5"/>
  <c r="B177" i="5" s="1"/>
  <c r="C177" i="5" l="1"/>
  <c r="D177" i="5" s="1"/>
  <c r="F177" i="5"/>
  <c r="B178" i="5" s="1"/>
  <c r="C178" i="5" l="1"/>
  <c r="D178" i="5" s="1"/>
  <c r="F178" i="5"/>
  <c r="B179" i="5" s="1"/>
  <c r="C179" i="5" l="1"/>
  <c r="D179" i="5" s="1"/>
  <c r="F179" i="5"/>
  <c r="B180" i="5" s="1"/>
  <c r="C180" i="5" l="1"/>
  <c r="D180" i="5" s="1"/>
  <c r="F180" i="5"/>
  <c r="B181" i="5" s="1"/>
  <c r="C181" i="5" l="1"/>
  <c r="D181" i="5" s="1"/>
  <c r="F181" i="5" s="1"/>
  <c r="B182" i="5" s="1"/>
  <c r="C182" i="5" l="1"/>
  <c r="D182" i="5" s="1"/>
  <c r="F182" i="5"/>
  <c r="B183" i="5" s="1"/>
  <c r="C183" i="5" l="1"/>
  <c r="D183" i="5" s="1"/>
  <c r="F183" i="5" s="1"/>
  <c r="B184" i="5" s="1"/>
  <c r="C184" i="5" l="1"/>
  <c r="D184" i="5" s="1"/>
  <c r="F184" i="5"/>
  <c r="B185" i="5" s="1"/>
  <c r="C185" i="5" l="1"/>
  <c r="D185" i="5" s="1"/>
  <c r="F185" i="5" s="1"/>
  <c r="B186" i="5" s="1"/>
  <c r="C186" i="5" l="1"/>
  <c r="D186" i="5" s="1"/>
  <c r="F186" i="5"/>
  <c r="B187" i="5" s="1"/>
  <c r="C187" i="5" l="1"/>
  <c r="D187" i="5" s="1"/>
  <c r="F187" i="5" s="1"/>
  <c r="B188" i="5" s="1"/>
  <c r="C188" i="5" l="1"/>
  <c r="D188" i="5" s="1"/>
  <c r="F188" i="5" s="1"/>
  <c r="B189" i="5" s="1"/>
  <c r="C189" i="5" l="1"/>
  <c r="D189" i="5" s="1"/>
  <c r="F189" i="5"/>
  <c r="B190" i="5" s="1"/>
  <c r="C190" i="5" l="1"/>
  <c r="D190" i="5" s="1"/>
  <c r="F190" i="5" s="1"/>
  <c r="B191" i="5" s="1"/>
  <c r="C191" i="5" l="1"/>
  <c r="D191" i="5" s="1"/>
  <c r="F191" i="5" s="1"/>
  <c r="B192" i="5" s="1"/>
  <c r="C192" i="5" l="1"/>
  <c r="D192" i="5" s="1"/>
  <c r="F192" i="5"/>
  <c r="B193" i="5" s="1"/>
  <c r="C193" i="5" l="1"/>
  <c r="D193" i="5" s="1"/>
  <c r="F193" i="5" s="1"/>
  <c r="B194" i="5" s="1"/>
  <c r="C194" i="5" l="1"/>
  <c r="D194" i="5" s="1"/>
  <c r="F194" i="5"/>
  <c r="B195" i="5" s="1"/>
  <c r="C195" i="5" l="1"/>
  <c r="D195" i="5" s="1"/>
  <c r="F195" i="5"/>
  <c r="B196" i="5" s="1"/>
  <c r="C196" i="5" l="1"/>
  <c r="D196" i="5" s="1"/>
  <c r="F196" i="5"/>
  <c r="B197" i="5" s="1"/>
  <c r="C197" i="5" l="1"/>
  <c r="D197" i="5" s="1"/>
  <c r="F197" i="5"/>
  <c r="B198" i="5" s="1"/>
  <c r="C198" i="5" l="1"/>
  <c r="D198" i="5" s="1"/>
  <c r="F198" i="5"/>
  <c r="B199" i="5" s="1"/>
  <c r="F199" i="5" l="1"/>
  <c r="B200" i="5" s="1"/>
  <c r="C199" i="5"/>
  <c r="D199" i="5" s="1"/>
  <c r="C200" i="5" l="1"/>
  <c r="D200" i="5" s="1"/>
  <c r="F200" i="5" s="1"/>
  <c r="B201" i="5" s="1"/>
  <c r="C201" i="5" l="1"/>
  <c r="D201" i="5" s="1"/>
  <c r="F201" i="5" s="1"/>
  <c r="B202" i="5" s="1"/>
  <c r="C202" i="5" l="1"/>
  <c r="D202" i="5" s="1"/>
  <c r="F202" i="5" s="1"/>
  <c r="B203" i="5" s="1"/>
  <c r="C203" i="5" l="1"/>
  <c r="D203" i="5" s="1"/>
  <c r="F203" i="5" s="1"/>
  <c r="B204" i="5" s="1"/>
  <c r="C204" i="5" l="1"/>
  <c r="D204" i="5" s="1"/>
  <c r="F204" i="5" s="1"/>
  <c r="B205" i="5" s="1"/>
  <c r="C205" i="5" l="1"/>
  <c r="D205" i="5" s="1"/>
  <c r="F205" i="5"/>
  <c r="B206" i="5" s="1"/>
  <c r="C206" i="5" l="1"/>
  <c r="D206" i="5" s="1"/>
  <c r="F206" i="5" s="1"/>
  <c r="B207" i="5" s="1"/>
  <c r="C207" i="5" l="1"/>
  <c r="D207" i="5" s="1"/>
  <c r="F207" i="5"/>
  <c r="B208" i="5" s="1"/>
  <c r="C208" i="5" l="1"/>
  <c r="D208" i="5" s="1"/>
  <c r="F208" i="5"/>
  <c r="B209" i="5" s="1"/>
  <c r="C209" i="5" l="1"/>
  <c r="D209" i="5" s="1"/>
  <c r="F209" i="5"/>
  <c r="B210" i="5" s="1"/>
  <c r="C210" i="5" l="1"/>
  <c r="D210" i="5" s="1"/>
  <c r="F210" i="5"/>
  <c r="B211" i="5" s="1"/>
  <c r="C211" i="5" l="1"/>
  <c r="D211" i="5" s="1"/>
  <c r="F211" i="5"/>
  <c r="B212" i="5" s="1"/>
  <c r="C212" i="5" l="1"/>
  <c r="D212" i="5" s="1"/>
  <c r="F212" i="5"/>
  <c r="B213" i="5" s="1"/>
  <c r="C213" i="5" l="1"/>
  <c r="D213" i="5" s="1"/>
  <c r="F213" i="5" s="1"/>
  <c r="B214" i="5" s="1"/>
  <c r="C214" i="5" l="1"/>
  <c r="D214" i="5" s="1"/>
  <c r="F214" i="5" s="1"/>
  <c r="B215" i="5" s="1"/>
  <c r="C215" i="5" l="1"/>
  <c r="D215" i="5" s="1"/>
  <c r="F215" i="5" s="1"/>
  <c r="B216" i="5" s="1"/>
  <c r="C216" i="5" l="1"/>
  <c r="D216" i="5" s="1"/>
  <c r="F216" i="5"/>
  <c r="B217" i="5" s="1"/>
  <c r="C217" i="5" l="1"/>
  <c r="D217" i="5" s="1"/>
  <c r="F217" i="5" s="1"/>
  <c r="B218" i="5" s="1"/>
  <c r="C218" i="5" l="1"/>
  <c r="D218" i="5" s="1"/>
  <c r="F218" i="5" s="1"/>
  <c r="B219" i="5" s="1"/>
  <c r="C219" i="5" l="1"/>
  <c r="D219" i="5" s="1"/>
  <c r="F219" i="5" s="1"/>
  <c r="B220" i="5" s="1"/>
  <c r="C220" i="5" l="1"/>
  <c r="D220" i="5" s="1"/>
  <c r="F220" i="5" s="1"/>
  <c r="B221" i="5" s="1"/>
  <c r="C221" i="5" l="1"/>
  <c r="D221" i="5" s="1"/>
  <c r="F221" i="5"/>
  <c r="B222" i="5" s="1"/>
  <c r="C222" i="5" l="1"/>
  <c r="D222" i="5" s="1"/>
  <c r="F222" i="5"/>
  <c r="B223" i="5" s="1"/>
  <c r="C223" i="5" l="1"/>
  <c r="D223" i="5" s="1"/>
  <c r="F223" i="5"/>
  <c r="B224" i="5" s="1"/>
  <c r="C224" i="5" l="1"/>
  <c r="D224" i="5" s="1"/>
  <c r="F224" i="5"/>
  <c r="B225" i="5" s="1"/>
  <c r="C225" i="5" l="1"/>
  <c r="D225" i="5" s="1"/>
  <c r="F225" i="5" s="1"/>
  <c r="B226" i="5" s="1"/>
  <c r="C226" i="5" l="1"/>
  <c r="D226" i="5" s="1"/>
  <c r="F226" i="5"/>
  <c r="B227" i="5" s="1"/>
  <c r="C227" i="5" l="1"/>
  <c r="D227" i="5" s="1"/>
  <c r="F227" i="5"/>
  <c r="B228" i="5" s="1"/>
  <c r="C228" i="5" l="1"/>
  <c r="D228" i="5" s="1"/>
  <c r="F228" i="5"/>
  <c r="B229" i="5" s="1"/>
  <c r="C229" i="5" l="1"/>
  <c r="D229" i="5" s="1"/>
  <c r="F229" i="5" s="1"/>
  <c r="B230" i="5" s="1"/>
  <c r="C230" i="5" l="1"/>
  <c r="D230" i="5" s="1"/>
  <c r="F230" i="5"/>
  <c r="B231" i="5" s="1"/>
  <c r="C231" i="5" l="1"/>
  <c r="D231" i="5" s="1"/>
  <c r="F231" i="5" s="1"/>
  <c r="B232" i="5" s="1"/>
  <c r="C232" i="5" l="1"/>
  <c r="D232" i="5" s="1"/>
  <c r="F232" i="5"/>
  <c r="B233" i="5" s="1"/>
  <c r="C233" i="5" l="1"/>
  <c r="D233" i="5" s="1"/>
  <c r="F233" i="5" s="1"/>
  <c r="B234" i="5" s="1"/>
  <c r="C234" i="5" l="1"/>
  <c r="D234" i="5" s="1"/>
  <c r="F234" i="5" s="1"/>
  <c r="B235" i="5" s="1"/>
  <c r="C235" i="5" l="1"/>
  <c r="D235" i="5" s="1"/>
  <c r="F235" i="5"/>
  <c r="B236" i="5" s="1"/>
  <c r="C236" i="5" l="1"/>
  <c r="D236" i="5" s="1"/>
  <c r="F236" i="5" s="1"/>
  <c r="B237" i="5" s="1"/>
  <c r="C237" i="5" l="1"/>
  <c r="D237" i="5" s="1"/>
  <c r="F237" i="5"/>
  <c r="B238" i="5" s="1"/>
  <c r="C238" i="5" l="1"/>
  <c r="D238" i="5" s="1"/>
  <c r="F238" i="5" s="1"/>
  <c r="B239" i="5" s="1"/>
  <c r="C239" i="5" l="1"/>
  <c r="D239" i="5" s="1"/>
  <c r="F239" i="5" s="1"/>
  <c r="B240" i="5" s="1"/>
  <c r="C240" i="5" l="1"/>
  <c r="D240" i="5" s="1"/>
  <c r="F240" i="5"/>
  <c r="B241" i="5" s="1"/>
  <c r="C241" i="5" l="1"/>
  <c r="D241" i="5" s="1"/>
  <c r="F241" i="5"/>
  <c r="B242" i="5" s="1"/>
  <c r="C242" i="5" l="1"/>
  <c r="D242" i="5" s="1"/>
  <c r="F242" i="5"/>
  <c r="B243" i="5" s="1"/>
  <c r="C243" i="5" l="1"/>
  <c r="D243" i="5" s="1"/>
  <c r="F243" i="5"/>
  <c r="B244" i="5" s="1"/>
  <c r="C244" i="5" l="1"/>
  <c r="D244" i="5" s="1"/>
  <c r="F244" i="5" s="1"/>
  <c r="B245" i="5" s="1"/>
  <c r="C245" i="5" l="1"/>
  <c r="D245" i="5" s="1"/>
  <c r="F245" i="5" s="1"/>
  <c r="B246" i="5" s="1"/>
  <c r="C246" i="5" l="1"/>
  <c r="D246" i="5" s="1"/>
  <c r="F246" i="5"/>
  <c r="B247" i="5" s="1"/>
  <c r="C247" i="5" l="1"/>
  <c r="D247" i="5" s="1"/>
  <c r="F247" i="5"/>
  <c r="B248" i="5" s="1"/>
  <c r="C248" i="5" l="1"/>
  <c r="D248" i="5" s="1"/>
  <c r="F248" i="5" s="1"/>
  <c r="B249" i="5" s="1"/>
  <c r="C249" i="5" l="1"/>
  <c r="D249" i="5" s="1"/>
  <c r="F249" i="5" s="1"/>
  <c r="B250" i="5" s="1"/>
  <c r="C250" i="5" l="1"/>
  <c r="D250" i="5" s="1"/>
  <c r="F250" i="5"/>
  <c r="B251" i="5" s="1"/>
  <c r="C251" i="5" l="1"/>
  <c r="D251" i="5" s="1"/>
  <c r="F251" i="5"/>
  <c r="B252" i="5" s="1"/>
  <c r="C252" i="5" l="1"/>
  <c r="D252" i="5" s="1"/>
  <c r="F252" i="5" s="1"/>
  <c r="B253" i="5" s="1"/>
  <c r="C253" i="5" l="1"/>
  <c r="D253" i="5" s="1"/>
  <c r="F253" i="5"/>
  <c r="B254" i="5" s="1"/>
  <c r="C254" i="5" l="1"/>
  <c r="D254" i="5" s="1"/>
  <c r="F254" i="5" s="1"/>
  <c r="B255" i="5" s="1"/>
  <c r="C255" i="5" l="1"/>
  <c r="D255" i="5" s="1"/>
  <c r="F255" i="5"/>
  <c r="B256" i="5" s="1"/>
  <c r="C256" i="5" l="1"/>
  <c r="D256" i="5" s="1"/>
  <c r="F256" i="5"/>
  <c r="B257" i="5" s="1"/>
  <c r="C257" i="5" l="1"/>
  <c r="D257" i="5" s="1"/>
  <c r="F257" i="5"/>
  <c r="B258" i="5" s="1"/>
  <c r="C258" i="5" l="1"/>
  <c r="D258" i="5" s="1"/>
  <c r="F258" i="5"/>
  <c r="B259" i="5" s="1"/>
  <c r="C259" i="5" l="1"/>
  <c r="D259" i="5" s="1"/>
  <c r="F259" i="5"/>
  <c r="B260" i="5" s="1"/>
  <c r="C260" i="5" l="1"/>
  <c r="D260" i="5" s="1"/>
  <c r="F260" i="5" s="1"/>
  <c r="B261" i="5" s="1"/>
  <c r="C261" i="5" l="1"/>
  <c r="D261" i="5" s="1"/>
  <c r="F261" i="5"/>
  <c r="B262" i="5" s="1"/>
  <c r="C262" i="5" l="1"/>
  <c r="D262" i="5" s="1"/>
  <c r="F262" i="5"/>
  <c r="B263" i="5" s="1"/>
  <c r="C263" i="5" l="1"/>
  <c r="D263" i="5" s="1"/>
  <c r="F263" i="5" s="1"/>
  <c r="B264" i="5" s="1"/>
  <c r="C264" i="5" l="1"/>
  <c r="D264" i="5" s="1"/>
  <c r="F264" i="5" s="1"/>
  <c r="B265" i="5" s="1"/>
  <c r="C265" i="5" l="1"/>
  <c r="D265" i="5" s="1"/>
  <c r="F265" i="5" s="1"/>
  <c r="B266" i="5" s="1"/>
  <c r="C266" i="5" l="1"/>
  <c r="D266" i="5" s="1"/>
  <c r="F266" i="5" s="1"/>
  <c r="B267" i="5" s="1"/>
  <c r="C267" i="5" l="1"/>
  <c r="D267" i="5" s="1"/>
  <c r="F267" i="5"/>
  <c r="B268" i="5" s="1"/>
  <c r="C268" i="5" l="1"/>
  <c r="D268" i="5" s="1"/>
  <c r="F268" i="5" s="1"/>
  <c r="B269" i="5" s="1"/>
  <c r="C269" i="5" l="1"/>
  <c r="D269" i="5" s="1"/>
  <c r="F269" i="5" s="1"/>
  <c r="B270" i="5" s="1"/>
  <c r="C270" i="5" l="1"/>
  <c r="D270" i="5" s="1"/>
  <c r="F270" i="5" s="1"/>
  <c r="B271" i="5" s="1"/>
  <c r="C271" i="5" l="1"/>
  <c r="D271" i="5" s="1"/>
  <c r="F271" i="5" s="1"/>
  <c r="B272" i="5" s="1"/>
  <c r="C272" i="5" l="1"/>
  <c r="D272" i="5" s="1"/>
  <c r="F272" i="5"/>
  <c r="B273" i="5" s="1"/>
  <c r="C273" i="5" l="1"/>
  <c r="D273" i="5" s="1"/>
  <c r="F273" i="5" s="1"/>
  <c r="B274" i="5" s="1"/>
  <c r="C274" i="5" l="1"/>
  <c r="D274" i="5" s="1"/>
  <c r="F274" i="5"/>
  <c r="B275" i="5" s="1"/>
  <c r="C275" i="5" l="1"/>
  <c r="D275" i="5" s="1"/>
  <c r="F275" i="5"/>
  <c r="B276" i="5" s="1"/>
  <c r="C276" i="5" l="1"/>
  <c r="D276" i="5" s="1"/>
  <c r="F276" i="5"/>
  <c r="B277" i="5" s="1"/>
  <c r="C277" i="5" l="1"/>
  <c r="D277" i="5" s="1"/>
  <c r="F277" i="5" s="1"/>
  <c r="B278" i="5" s="1"/>
  <c r="C278" i="5" l="1"/>
  <c r="D278" i="5" s="1"/>
  <c r="F278" i="5"/>
  <c r="B279" i="5" s="1"/>
  <c r="C279" i="5" l="1"/>
  <c r="D279" i="5" s="1"/>
  <c r="F279" i="5"/>
  <c r="B280" i="5" s="1"/>
  <c r="C280" i="5" l="1"/>
  <c r="D280" i="5" s="1"/>
  <c r="F280" i="5"/>
  <c r="B281" i="5" s="1"/>
  <c r="C281" i="5" l="1"/>
  <c r="D281" i="5" s="1"/>
  <c r="F281" i="5" s="1"/>
  <c r="B282" i="5" s="1"/>
  <c r="C282" i="5" l="1"/>
  <c r="D282" i="5" s="1"/>
  <c r="F282" i="5" s="1"/>
  <c r="B283" i="5" s="1"/>
  <c r="C283" i="5" l="1"/>
  <c r="D283" i="5" s="1"/>
  <c r="F283" i="5" s="1"/>
  <c r="B284" i="5" s="1"/>
  <c r="C284" i="5" l="1"/>
  <c r="D284" i="5" s="1"/>
  <c r="F284" i="5" s="1"/>
  <c r="B285" i="5" s="1"/>
  <c r="C285" i="5" l="1"/>
  <c r="D285" i="5" s="1"/>
  <c r="F285" i="5" s="1"/>
  <c r="B286" i="5" s="1"/>
  <c r="C286" i="5" l="1"/>
  <c r="D286" i="5" s="1"/>
  <c r="F286" i="5" s="1"/>
  <c r="B287" i="5" s="1"/>
  <c r="C287" i="5" l="1"/>
  <c r="D287" i="5" s="1"/>
  <c r="F287" i="5"/>
  <c r="B288" i="5" s="1"/>
  <c r="C288" i="5" l="1"/>
  <c r="D288" i="5" s="1"/>
  <c r="F288" i="5"/>
  <c r="B289" i="5" s="1"/>
  <c r="C289" i="5" l="1"/>
  <c r="D289" i="5" s="1"/>
  <c r="F289" i="5" s="1"/>
  <c r="B290" i="5" s="1"/>
  <c r="C290" i="5" l="1"/>
  <c r="D290" i="5" s="1"/>
  <c r="F290" i="5"/>
  <c r="B291" i="5" s="1"/>
  <c r="C291" i="5" l="1"/>
  <c r="D291" i="5" s="1"/>
  <c r="F291" i="5"/>
  <c r="B292" i="5" s="1"/>
  <c r="C292" i="5" l="1"/>
  <c r="D292" i="5" s="1"/>
  <c r="F292" i="5" s="1"/>
  <c r="B293" i="5" s="1"/>
  <c r="C293" i="5" l="1"/>
  <c r="D293" i="5" s="1"/>
  <c r="F293" i="5"/>
  <c r="B294" i="5" s="1"/>
  <c r="C294" i="5" l="1"/>
  <c r="D294" i="5" s="1"/>
  <c r="F294" i="5"/>
  <c r="B295" i="5" s="1"/>
  <c r="C295" i="5" l="1"/>
  <c r="D295" i="5" s="1"/>
  <c r="F295" i="5" s="1"/>
  <c r="B296" i="5" s="1"/>
  <c r="C296" i="5" l="1"/>
  <c r="D296" i="5" s="1"/>
  <c r="F296" i="5"/>
  <c r="B297" i="5" s="1"/>
  <c r="C297" i="5" l="1"/>
  <c r="D297" i="5" s="1"/>
  <c r="F297" i="5" s="1"/>
  <c r="B298" i="5" s="1"/>
  <c r="C298" i="5" l="1"/>
  <c r="D298" i="5" s="1"/>
  <c r="F298" i="5" s="1"/>
  <c r="B299" i="5" s="1"/>
  <c r="C299" i="5" l="1"/>
  <c r="D299" i="5" s="1"/>
  <c r="F299" i="5" s="1"/>
  <c r="B300" i="5" s="1"/>
  <c r="C300" i="5" l="1"/>
  <c r="D300" i="5" s="1"/>
  <c r="F300" i="5" s="1"/>
  <c r="B301" i="5" s="1"/>
  <c r="C301" i="5" l="1"/>
  <c r="D301" i="5" s="1"/>
  <c r="F301" i="5" s="1"/>
  <c r="B302" i="5" s="1"/>
  <c r="C302" i="5" l="1"/>
  <c r="D302" i="5" s="1"/>
  <c r="F302" i="5"/>
  <c r="B303" i="5" s="1"/>
  <c r="C303" i="5" l="1"/>
  <c r="D303" i="5" s="1"/>
  <c r="F303" i="5" s="1"/>
  <c r="B304" i="5" s="1"/>
  <c r="C304" i="5" l="1"/>
  <c r="D304" i="5" s="1"/>
  <c r="F304" i="5"/>
  <c r="B305" i="5" s="1"/>
  <c r="C305" i="5" l="1"/>
  <c r="D305" i="5" s="1"/>
  <c r="F305" i="5" s="1"/>
  <c r="B306" i="5" s="1"/>
  <c r="C306" i="5" l="1"/>
  <c r="D306" i="5" s="1"/>
  <c r="F306" i="5"/>
  <c r="B307" i="5" s="1"/>
  <c r="C307" i="5" l="1"/>
  <c r="D307" i="5" s="1"/>
  <c r="F307" i="5"/>
  <c r="B308" i="5" s="1"/>
  <c r="C308" i="5" l="1"/>
  <c r="D308" i="5" s="1"/>
  <c r="F308" i="5" s="1"/>
  <c r="B309" i="5" s="1"/>
  <c r="C309" i="5" l="1"/>
  <c r="D309" i="5" s="1"/>
  <c r="F309" i="5"/>
  <c r="B310" i="5" s="1"/>
  <c r="C310" i="5" l="1"/>
  <c r="D310" i="5" s="1"/>
  <c r="F310" i="5"/>
  <c r="B311" i="5" s="1"/>
  <c r="C311" i="5" l="1"/>
  <c r="D311" i="5" s="1"/>
  <c r="F311" i="5"/>
  <c r="B312" i="5" s="1"/>
  <c r="C312" i="5" l="1"/>
  <c r="D312" i="5" s="1"/>
  <c r="F312" i="5" s="1"/>
  <c r="B313" i="5" s="1"/>
  <c r="C313" i="5" l="1"/>
  <c r="D313" i="5" s="1"/>
  <c r="F313" i="5" s="1"/>
  <c r="B314" i="5" s="1"/>
  <c r="C314" i="5" l="1"/>
  <c r="D314" i="5" s="1"/>
  <c r="F314" i="5"/>
  <c r="B315" i="5" s="1"/>
  <c r="C315" i="5" l="1"/>
  <c r="D315" i="5" s="1"/>
  <c r="F315" i="5" s="1"/>
  <c r="B316" i="5" s="1"/>
  <c r="C316" i="5" l="1"/>
  <c r="D316" i="5" s="1"/>
  <c r="F316" i="5" s="1"/>
  <c r="B317" i="5" s="1"/>
  <c r="C317" i="5" l="1"/>
  <c r="D317" i="5" s="1"/>
  <c r="F317" i="5"/>
  <c r="B318" i="5" s="1"/>
  <c r="C318" i="5" l="1"/>
  <c r="D318" i="5" s="1"/>
  <c r="F318" i="5" s="1"/>
  <c r="B319" i="5" s="1"/>
  <c r="C319" i="5" l="1"/>
  <c r="D319" i="5" s="1"/>
  <c r="F319" i="5"/>
  <c r="B320" i="5" s="1"/>
  <c r="C320" i="5" l="1"/>
  <c r="D320" i="5" s="1"/>
  <c r="F320" i="5"/>
  <c r="B321" i="5" s="1"/>
  <c r="C321" i="5" l="1"/>
  <c r="D321" i="5" s="1"/>
  <c r="F321" i="5" s="1"/>
  <c r="B322" i="5" s="1"/>
  <c r="C322" i="5" l="1"/>
  <c r="D322" i="5" s="1"/>
  <c r="F322" i="5"/>
  <c r="B323" i="5" s="1"/>
  <c r="C323" i="5" l="1"/>
  <c r="D323" i="5" s="1"/>
  <c r="F323" i="5"/>
  <c r="B324" i="5" s="1"/>
  <c r="C324" i="5" l="1"/>
  <c r="D324" i="5" s="1"/>
  <c r="F324" i="5" s="1"/>
  <c r="B325" i="5" s="1"/>
  <c r="F325" i="5" l="1"/>
  <c r="B326" i="5" s="1"/>
  <c r="C325" i="5"/>
  <c r="D325" i="5" s="1"/>
  <c r="C326" i="5" l="1"/>
  <c r="D326" i="5" s="1"/>
  <c r="F326" i="5"/>
  <c r="B327" i="5" s="1"/>
  <c r="C327" i="5" l="1"/>
  <c r="D327" i="5" s="1"/>
  <c r="F327" i="5"/>
  <c r="B328" i="5" s="1"/>
  <c r="C328" i="5" l="1"/>
  <c r="D328" i="5" s="1"/>
  <c r="F328" i="5"/>
  <c r="B329" i="5" s="1"/>
  <c r="C329" i="5" l="1"/>
  <c r="D329" i="5" s="1"/>
  <c r="F329" i="5" s="1"/>
  <c r="B330" i="5" s="1"/>
  <c r="C330" i="5" l="1"/>
  <c r="D330" i="5" s="1"/>
  <c r="F330" i="5" s="1"/>
  <c r="B331" i="5" s="1"/>
  <c r="C331" i="5" l="1"/>
  <c r="D331" i="5" s="1"/>
  <c r="F331" i="5" s="1"/>
  <c r="B332" i="5" s="1"/>
  <c r="C332" i="5" l="1"/>
  <c r="D332" i="5" s="1"/>
  <c r="F332" i="5"/>
  <c r="B333" i="5" s="1"/>
  <c r="C333" i="5" l="1"/>
  <c r="D333" i="5" s="1"/>
  <c r="F333" i="5"/>
  <c r="B334" i="5" s="1"/>
  <c r="C334" i="5" l="1"/>
  <c r="D334" i="5" s="1"/>
  <c r="F334" i="5"/>
  <c r="B335" i="5" s="1"/>
  <c r="C335" i="5" l="1"/>
  <c r="D335" i="5" s="1"/>
  <c r="F335" i="5"/>
  <c r="B336" i="5" s="1"/>
  <c r="C336" i="5" l="1"/>
  <c r="D336" i="5" s="1"/>
  <c r="F336" i="5"/>
  <c r="B337" i="5" s="1"/>
  <c r="C337" i="5" l="1"/>
  <c r="D337" i="5" s="1"/>
  <c r="F337" i="5" s="1"/>
  <c r="B338" i="5" s="1"/>
  <c r="C338" i="5" l="1"/>
  <c r="D338" i="5" s="1"/>
  <c r="F338" i="5" s="1"/>
  <c r="B339" i="5" s="1"/>
  <c r="C339" i="5" l="1"/>
  <c r="D339" i="5" s="1"/>
  <c r="F339" i="5"/>
  <c r="B340" i="5" s="1"/>
  <c r="C340" i="5" l="1"/>
  <c r="D340" i="5" s="1"/>
  <c r="F340" i="5" s="1"/>
  <c r="B341" i="5" s="1"/>
  <c r="C341" i="5" l="1"/>
  <c r="D341" i="5" s="1"/>
  <c r="F341" i="5" s="1"/>
  <c r="B342" i="5" s="1"/>
  <c r="C342" i="5" l="1"/>
  <c r="D342" i="5" s="1"/>
  <c r="F342" i="5"/>
  <c r="B343" i="5" s="1"/>
  <c r="C343" i="5" l="1"/>
  <c r="D343" i="5" s="1"/>
  <c r="F343" i="5" s="1"/>
  <c r="B344" i="5" s="1"/>
  <c r="C344" i="5" l="1"/>
  <c r="D344" i="5" s="1"/>
  <c r="F344" i="5"/>
  <c r="B345" i="5" s="1"/>
  <c r="C345" i="5" l="1"/>
  <c r="D345" i="5" s="1"/>
  <c r="F345" i="5" s="1"/>
  <c r="B346" i="5" s="1"/>
  <c r="C346" i="5" l="1"/>
  <c r="D346" i="5" s="1"/>
  <c r="F346" i="5"/>
  <c r="B347" i="5" s="1"/>
  <c r="C347" i="5" l="1"/>
  <c r="D347" i="5" s="1"/>
  <c r="F347" i="5"/>
  <c r="B348" i="5" s="1"/>
  <c r="C348" i="5" l="1"/>
  <c r="D348" i="5" s="1"/>
  <c r="F348" i="5"/>
  <c r="B349" i="5" s="1"/>
  <c r="C349" i="5" l="1"/>
  <c r="D349" i="5" s="1"/>
  <c r="F349" i="5"/>
  <c r="B350" i="5" s="1"/>
  <c r="C350" i="5" l="1"/>
  <c r="D350" i="5" s="1"/>
  <c r="F350" i="5" s="1"/>
  <c r="B351" i="5" s="1"/>
  <c r="C351" i="5" l="1"/>
  <c r="D351" i="5" s="1"/>
  <c r="F351" i="5" s="1"/>
  <c r="B352" i="5" s="1"/>
  <c r="C352" i="5" l="1"/>
  <c r="D352" i="5" s="1"/>
  <c r="F352" i="5"/>
  <c r="B353" i="5" s="1"/>
  <c r="C353" i="5" l="1"/>
  <c r="D353" i="5" s="1"/>
  <c r="F353" i="5"/>
  <c r="B354" i="5" s="1"/>
  <c r="C354" i="5" l="1"/>
  <c r="D354" i="5" s="1"/>
  <c r="F354" i="5" s="1"/>
  <c r="B355" i="5" s="1"/>
  <c r="C355" i="5" l="1"/>
  <c r="D355" i="5" s="1"/>
  <c r="F355" i="5" s="1"/>
  <c r="B356" i="5" s="1"/>
  <c r="C356" i="5" l="1"/>
  <c r="D356" i="5" s="1"/>
  <c r="F356" i="5"/>
  <c r="B357" i="5" s="1"/>
  <c r="C357" i="5" l="1"/>
  <c r="D357" i="5" s="1"/>
  <c r="F357" i="5"/>
  <c r="B358" i="5" s="1"/>
  <c r="C358" i="5" l="1"/>
  <c r="D358" i="5" s="1"/>
  <c r="F358" i="5" s="1"/>
  <c r="B359" i="5" s="1"/>
  <c r="C359" i="5" l="1"/>
  <c r="D359" i="5" s="1"/>
  <c r="F359" i="5" s="1"/>
  <c r="B360" i="5" s="1"/>
  <c r="C360" i="5" l="1"/>
  <c r="D360" i="5" s="1"/>
  <c r="F360" i="5" s="1"/>
  <c r="B361" i="5" s="1"/>
  <c r="C361" i="5" l="1"/>
  <c r="D361" i="5" s="1"/>
  <c r="F361" i="5" s="1"/>
  <c r="B362" i="5" s="1"/>
  <c r="C362" i="5" l="1"/>
  <c r="D362" i="5" s="1"/>
  <c r="F362" i="5" s="1"/>
  <c r="B363" i="5" s="1"/>
  <c r="C363" i="5" l="1"/>
  <c r="D363" i="5" s="1"/>
  <c r="F363" i="5" s="1"/>
  <c r="B364" i="5" s="1"/>
  <c r="C364" i="5" l="1"/>
  <c r="D364" i="5" s="1"/>
  <c r="F364" i="5" s="1"/>
  <c r="B365" i="5" s="1"/>
  <c r="C365" i="5" l="1"/>
  <c r="D365" i="5" s="1"/>
  <c r="F365" i="5"/>
  <c r="B366" i="5" s="1"/>
  <c r="C366" i="5" l="1"/>
  <c r="D366" i="5" s="1"/>
  <c r="F366" i="5" s="1"/>
  <c r="B367" i="5" s="1"/>
  <c r="C367" i="5" l="1"/>
  <c r="D367" i="5" s="1"/>
  <c r="F367" i="5"/>
  <c r="B368" i="5" s="1"/>
  <c r="C368" i="5" l="1"/>
  <c r="D368" i="5" s="1"/>
  <c r="F368" i="5" s="1"/>
  <c r="B369" i="5" s="1"/>
  <c r="C369" i="5" l="1"/>
  <c r="D369" i="5" s="1"/>
  <c r="F369" i="5" s="1"/>
  <c r="B370" i="5" s="1"/>
  <c r="C370" i="5" l="1"/>
  <c r="D370" i="5" s="1"/>
  <c r="F370" i="5" s="1"/>
  <c r="B371" i="5" s="1"/>
  <c r="C371" i="5" l="1"/>
  <c r="D371" i="5" s="1"/>
  <c r="F371" i="5" s="1"/>
  <c r="B372" i="5" s="1"/>
  <c r="C372" i="5" l="1"/>
  <c r="D372" i="5" s="1"/>
  <c r="F372" i="5" s="1"/>
  <c r="B373" i="5" s="1"/>
  <c r="C373" i="5" l="1"/>
  <c r="D373" i="5" s="1"/>
  <c r="F37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Jake Pesci</author>
  </authors>
  <commentList>
    <comment ref="J7" authorId="0" shapeId="0" xr:uid="{46E3F904-27AE-2C4B-8837-197BC210EA49}">
      <text>
        <r>
          <rPr>
            <b/>
            <sz val="9"/>
            <color rgb="FF000000"/>
            <rFont val="Tahoma"/>
            <family val="2"/>
          </rPr>
          <t>Jake Pesci: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Hyper growth for value add</t>
        </r>
      </text>
    </comment>
    <comment ref="K7" authorId="0" shapeId="0" xr:uid="{748F3D32-15E8-4C7A-9AB9-9F90C0EE97A3}">
      <text>
        <r>
          <rPr>
            <b/>
            <sz val="9"/>
            <color rgb="FF000000"/>
            <rFont val="Tahoma"/>
            <family val="2"/>
          </rPr>
          <t>Jake Pesci: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Hyper growth for value add</t>
        </r>
      </text>
    </comment>
  </commentList>
</comments>
</file>

<file path=xl/sharedStrings.xml><?xml version="1.0" encoding="utf-8"?>
<sst xmlns="http://schemas.openxmlformats.org/spreadsheetml/2006/main" count="223" uniqueCount="178">
  <si>
    <t>Assumptions &amp; Cash Flow</t>
  </si>
  <si>
    <t>General Assumptions</t>
  </si>
  <si>
    <t>Project Name</t>
  </si>
  <si>
    <t>Project Destined</t>
  </si>
  <si>
    <t xml:space="preserve">Underwriter </t>
  </si>
  <si>
    <t>Revenues</t>
  </si>
  <si>
    <t># of Units</t>
  </si>
  <si>
    <t>Gross Potential Rent</t>
  </si>
  <si>
    <t>Square Footage</t>
  </si>
  <si>
    <t>Vacancy Allowance</t>
  </si>
  <si>
    <t xml:space="preserve"> </t>
  </si>
  <si>
    <t>Purchase Date</t>
  </si>
  <si>
    <t>Credit Loss</t>
  </si>
  <si>
    <t>Total Hold Period</t>
  </si>
  <si>
    <t>Other Income</t>
  </si>
  <si>
    <t>Sale Date</t>
  </si>
  <si>
    <t>Effective Gross Income</t>
  </si>
  <si>
    <t>Property Purchase Price</t>
  </si>
  <si>
    <t>Closing Costs &amp; Permits (as a % of Purchase Price)</t>
  </si>
  <si>
    <t>Operating Expenses</t>
  </si>
  <si>
    <t>Closing Costs &amp; Permits</t>
  </si>
  <si>
    <t>Payroll</t>
  </si>
  <si>
    <t>Debt Origination Costs (% of Debt)</t>
  </si>
  <si>
    <t>Utilities</t>
  </si>
  <si>
    <t>Debt Origination Costs ($)</t>
  </si>
  <si>
    <t>Contracts</t>
  </si>
  <si>
    <t>Going in Cap Rate</t>
  </si>
  <si>
    <t>Repairs &amp; Maintenance</t>
  </si>
  <si>
    <t>Administrative/G&amp;A</t>
  </si>
  <si>
    <t>Revenue Assumptions</t>
  </si>
  <si>
    <t>Insurance</t>
  </si>
  <si>
    <t>Management Fee (% of EGI)</t>
  </si>
  <si>
    <t>Year 1 Other Income (Per Unit Per Year)</t>
  </si>
  <si>
    <t>Real Estate Taxes</t>
  </si>
  <si>
    <t xml:space="preserve">Other Income Growth </t>
  </si>
  <si>
    <t>Reserves</t>
  </si>
  <si>
    <t>Total Operating Expenses</t>
  </si>
  <si>
    <t xml:space="preserve"> Expense Assumptions</t>
  </si>
  <si>
    <t>Payroll (Year 1)</t>
  </si>
  <si>
    <t>Net Operating Income</t>
  </si>
  <si>
    <t>Utilities (Year 1)</t>
  </si>
  <si>
    <t>Contracts (Year 1)</t>
  </si>
  <si>
    <t>Capital Expenses</t>
  </si>
  <si>
    <t>Repairs &amp; Maintenance (per unit per year)</t>
  </si>
  <si>
    <t>Renovation Schedule</t>
  </si>
  <si>
    <t>Administrative/G&amp;A (Year 1)</t>
  </si>
  <si>
    <t>Façade Project</t>
  </si>
  <si>
    <t>Insurance (Year 1)</t>
  </si>
  <si>
    <t>Roof Replacement</t>
  </si>
  <si>
    <t>Total Capital Expenses</t>
  </si>
  <si>
    <t>Real Estate Taxes (Year 1)</t>
  </si>
  <si>
    <t>Reserves (per unit per year)</t>
  </si>
  <si>
    <t>Net Cash Flow Before Debt</t>
  </si>
  <si>
    <t>Expense Growth</t>
  </si>
  <si>
    <t>Real Estate Tax Growth</t>
  </si>
  <si>
    <t>Debt Service</t>
  </si>
  <si>
    <t>Total Debt Service</t>
  </si>
  <si>
    <t>Capital Expense Assumptions</t>
  </si>
  <si>
    <t>Net Cash Flow After Debt</t>
  </si>
  <si>
    <t>Total Renovation Expense</t>
  </si>
  <si>
    <t xml:space="preserve">Unlevered Analysis </t>
  </si>
  <si>
    <t>Total Façade Expense</t>
  </si>
  <si>
    <t>Purchase Price</t>
  </si>
  <si>
    <t>Roof Replacement Project</t>
  </si>
  <si>
    <t>Unlevered Cashflow</t>
  </si>
  <si>
    <t>Total Roof Replacement Expense</t>
  </si>
  <si>
    <t>Sale Price</t>
  </si>
  <si>
    <t>Cost of Sale</t>
  </si>
  <si>
    <t>Permanent Debt Assumptions</t>
  </si>
  <si>
    <t>Total Unlevered Cash Flow</t>
  </si>
  <si>
    <t>Loan Amount</t>
  </si>
  <si>
    <t>Cash-on-Cash</t>
  </si>
  <si>
    <t>Total Loan Term</t>
  </si>
  <si>
    <t>Amortization Term</t>
  </si>
  <si>
    <t>IRR</t>
  </si>
  <si>
    <t>Interest Rate</t>
  </si>
  <si>
    <t>Equity Multiple</t>
  </si>
  <si>
    <t>Payments per year</t>
  </si>
  <si>
    <t>Profit</t>
  </si>
  <si>
    <t>Annual Debt Service (see Debt Amortization Schedule)</t>
  </si>
  <si>
    <t xml:space="preserve">Levered Analysis </t>
  </si>
  <si>
    <t>Exit Assumptions</t>
  </si>
  <si>
    <t>Equity Investment (1)</t>
  </si>
  <si>
    <t>Exit Cap Rate</t>
  </si>
  <si>
    <t>Levered Cashflow</t>
  </si>
  <si>
    <t>Terminal NOI</t>
  </si>
  <si>
    <t>Terminal Value</t>
  </si>
  <si>
    <t xml:space="preserve">Debt Retirement </t>
  </si>
  <si>
    <t>Debt Retirement Balance (see Debt Amortization Schedule)</t>
  </si>
  <si>
    <t>Total Levered Cash Flow</t>
  </si>
  <si>
    <t xml:space="preserve">Debt Yield </t>
  </si>
  <si>
    <t>DSCR</t>
  </si>
  <si>
    <t>(1) Note: this should be equal to the "equity" from the "Sources &amp; Uses" tab.</t>
  </si>
  <si>
    <t>Property Rent Roll</t>
  </si>
  <si>
    <t>"T-12" Property Rent Roll</t>
  </si>
  <si>
    <t>Year</t>
  </si>
  <si>
    <t>Unit</t>
  </si>
  <si>
    <t># of Bedrooms</t>
  </si>
  <si>
    <t>Unit SF</t>
  </si>
  <si>
    <t>Monthly Rent</t>
  </si>
  <si>
    <t>$ PSF</t>
  </si>
  <si>
    <t>T-12 Annual Rent</t>
  </si>
  <si>
    <t>Date</t>
  </si>
  <si>
    <t>1A</t>
  </si>
  <si>
    <t>1B</t>
  </si>
  <si>
    <t>1 Bedroom Rent Growth Rate</t>
  </si>
  <si>
    <t>2A</t>
  </si>
  <si>
    <t>2 Bedroom Rent Growth Rate</t>
  </si>
  <si>
    <t>2B</t>
  </si>
  <si>
    <t>3A</t>
  </si>
  <si>
    <t>3B</t>
  </si>
  <si>
    <t>4A</t>
  </si>
  <si>
    <t>Annual 1 Bedroom Rent</t>
  </si>
  <si>
    <t>4B</t>
  </si>
  <si>
    <t>Annual 2 Bedroom Rent</t>
  </si>
  <si>
    <t>5A</t>
  </si>
  <si>
    <t>5B</t>
  </si>
  <si>
    <t>Total Gross Potential Rent</t>
  </si>
  <si>
    <t>6A</t>
  </si>
  <si>
    <t>6B</t>
  </si>
  <si>
    <t>Vacancy Rate</t>
  </si>
  <si>
    <t>7A</t>
  </si>
  <si>
    <t>7B</t>
  </si>
  <si>
    <t>8A</t>
  </si>
  <si>
    <t>8B</t>
  </si>
  <si>
    <t>Total Rent Growth CAGR (5-Year )</t>
  </si>
  <si>
    <t>Note: CAGR Formula is: =(Ending Balance/Starting Balance)^(1/Number of Years) – 1</t>
  </si>
  <si>
    <t>9A</t>
  </si>
  <si>
    <t>Total Rent Growth CAGR (10-Year )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</si>
  <si>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</si>
  <si>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</si>
  <si>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</si>
  <si>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</si>
  <si>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</si>
  <si>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</si>
  <si>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</si>
  <si>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</si>
  <si>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</si>
  <si>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</si>
  <si>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</si>
  <si>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Total</t>
  </si>
  <si>
    <t>Sources &amp; Uses</t>
  </si>
  <si>
    <t>Property SF</t>
  </si>
  <si>
    <t>Day 1</t>
  </si>
  <si>
    <t>Future Funding</t>
  </si>
  <si>
    <t>Total Stack</t>
  </si>
  <si>
    <t>Sources</t>
  </si>
  <si>
    <t>PRSF</t>
  </si>
  <si>
    <t>% Total</t>
  </si>
  <si>
    <t>Debt</t>
  </si>
  <si>
    <t xml:space="preserve">Equity </t>
  </si>
  <si>
    <t>Total Sources</t>
  </si>
  <si>
    <t>Uses</t>
  </si>
  <si>
    <t>Closing Costs</t>
  </si>
  <si>
    <t xml:space="preserve">Debt Origination </t>
  </si>
  <si>
    <t>Renovation Hard Costs</t>
  </si>
  <si>
    <t>Renovation Soft Costs</t>
  </si>
  <si>
    <t>Total Uses</t>
  </si>
  <si>
    <t>Debt Sizing</t>
  </si>
  <si>
    <t xml:space="preserve">DSCR </t>
  </si>
  <si>
    <t>Debt Yield</t>
  </si>
  <si>
    <t>LTV</t>
  </si>
  <si>
    <t>Year 1 NOI</t>
  </si>
  <si>
    <t># of years (Amortization Term)</t>
  </si>
  <si>
    <t>Loan Choice</t>
  </si>
  <si>
    <t>Loan Assumptions</t>
  </si>
  <si>
    <t>Loan Term yrs)</t>
  </si>
  <si>
    <t>Payments / Year</t>
  </si>
  <si>
    <t>Monthly Payment (Debt Service)</t>
  </si>
  <si>
    <t>Annual Payment (Debt Service)</t>
  </si>
  <si>
    <t>Starting</t>
  </si>
  <si>
    <t>Ending</t>
  </si>
  <si>
    <t>Month</t>
  </si>
  <si>
    <t>Balance</t>
  </si>
  <si>
    <t>Interest Payment</t>
  </si>
  <si>
    <t>Principal Payment</t>
  </si>
  <si>
    <t>Payment</t>
  </si>
  <si>
    <t>Tanish Chanthan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</si>
</sst>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164" formatCode="&quot;$&quot;#,##0;[Red]\-&quot;$&quot;#,##0"/>
    <numFmt numFmtId="165" formatCode="&quot;$&quot;#,##0.00;[Red]\-&quot;$&quot;#,##0.00"/>
    <numFmt numFmtId="166" formatCode="&quot;Year&quot;\ 0"/>
    <numFmt numFmtId="167" formatCode="0\ &quot;Units&quot;"/>
    <numFmt numFmtId="168" formatCode="#,##0.0_);[Red]\(#,##0.0\)"/>
    <numFmt numFmtId="169" formatCode="0\ &quot;Years&quot;"/>
    <numFmt numFmtId="170" formatCode="&quot;$&quot;#,##0"/>
    <numFmt numFmtId="171" formatCode="0.00&quot;x&quot;"/>
    <numFmt numFmtId="172" formatCode="&quot;$&quot;#,##0.00"/>
    <numFmt numFmtId="173" formatCode="0.00\x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11"/>
      <color rgb="FF0432FF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0"/>
      <color theme="1"/>
      <name val="Arial"/>
      <family val="2"/>
    </font>
    <font>
      <sz val="11"/>
      <color rgb="FF00B05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2" fillId="0" borderId="0"/>
    <xf numFmtId="0" fontId="17" fillId="0" borderId="0"/>
    <xf numFmtId="9" fontId="17" fillId="0" borderId="0" applyFont="0" applyFill="0" applyBorder="0" applyAlignment="0" applyProtection="0"/>
  </cellStyleXfs>
  <cellXfs count="166">
    <xf numFmtId="0" fontId="0" fillId="0" borderId="0" xfId="0"/>
    <xf numFmtId="38" fontId="5" fillId="0" borderId="0" xfId="0" applyNumberFormat="1" applyFont="1" applyAlignment="1">
      <alignment horizontal="centerContinuous" vertical="center"/>
    </xf>
    <xf numFmtId="38" fontId="5" fillId="0" borderId="0" xfId="0" applyNumberFormat="1" applyFont="1" applyAlignment="1">
      <alignment horizontal="left" vertical="center"/>
    </xf>
    <xf numFmtId="38" fontId="0" fillId="0" borderId="0" xfId="0" applyNumberFormat="1"/>
    <xf numFmtId="38" fontId="0" fillId="0" borderId="0" xfId="0" applyNumberFormat="1" applyAlignment="1">
      <alignment horizontal="center"/>
    </xf>
    <xf numFmtId="38" fontId="0" fillId="2" borderId="0" xfId="0" applyNumberFormat="1" applyFill="1"/>
    <xf numFmtId="38" fontId="0" fillId="2" borderId="0" xfId="0" applyNumberFormat="1" applyFill="1" applyAlignment="1">
      <alignment horizontal="center"/>
    </xf>
    <xf numFmtId="38" fontId="0" fillId="0" borderId="0" xfId="0" applyNumberFormat="1" applyAlignment="1">
      <alignment horizontal="right"/>
    </xf>
    <xf numFmtId="38" fontId="3" fillId="0" borderId="0" xfId="0" applyNumberFormat="1" applyFont="1"/>
    <xf numFmtId="166" fontId="0" fillId="0" borderId="0" xfId="0" applyNumberFormat="1" applyAlignment="1">
      <alignment horizontal="center"/>
    </xf>
    <xf numFmtId="38" fontId="6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38" fontId="0" fillId="0" borderId="0" xfId="0" applyNumberFormat="1" applyAlignment="1">
      <alignment horizontal="left" indent="2"/>
    </xf>
    <xf numFmtId="38" fontId="7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38" fontId="0" fillId="0" borderId="1" xfId="0" applyNumberFormat="1" applyBorder="1" applyAlignment="1">
      <alignment horizontal="left" indent="2"/>
    </xf>
    <xf numFmtId="38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right"/>
    </xf>
    <xf numFmtId="38" fontId="3" fillId="0" borderId="0" xfId="0" applyNumberFormat="1" applyFont="1" applyAlignment="1">
      <alignment horizontal="center"/>
    </xf>
    <xf numFmtId="10" fontId="6" fillId="0" borderId="0" xfId="1" applyNumberFormat="1" applyFont="1" applyFill="1" applyAlignment="1">
      <alignment horizontal="right"/>
    </xf>
    <xf numFmtId="38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right"/>
    </xf>
    <xf numFmtId="38" fontId="0" fillId="0" borderId="0" xfId="0" applyNumberFormat="1" applyAlignment="1">
      <alignment horizontal="left" indent="1"/>
    </xf>
    <xf numFmtId="38" fontId="7" fillId="0" borderId="0" xfId="0" applyNumberFormat="1" applyFont="1"/>
    <xf numFmtId="169" fontId="8" fillId="0" borderId="0" xfId="0" applyNumberFormat="1" applyFont="1" applyAlignment="1">
      <alignment horizontal="right"/>
    </xf>
    <xf numFmtId="38" fontId="0" fillId="0" borderId="1" xfId="0" applyNumberFormat="1" applyBorder="1" applyAlignment="1">
      <alignment horizontal="left" indent="1"/>
    </xf>
    <xf numFmtId="38" fontId="9" fillId="3" borderId="0" xfId="0" applyNumberFormat="1" applyFont="1" applyFill="1"/>
    <xf numFmtId="38" fontId="0" fillId="3" borderId="0" xfId="0" applyNumberFormat="1" applyFill="1" applyAlignment="1">
      <alignment horizontal="center"/>
    </xf>
    <xf numFmtId="10" fontId="9" fillId="3" borderId="0" xfId="1" applyNumberFormat="1" applyFont="1" applyFill="1" applyAlignment="1">
      <alignment horizontal="center"/>
    </xf>
    <xf numFmtId="38" fontId="3" fillId="4" borderId="2" xfId="0" applyNumberFormat="1" applyFont="1" applyFill="1" applyBorder="1"/>
    <xf numFmtId="10" fontId="3" fillId="4" borderId="3" xfId="1" applyNumberFormat="1" applyFont="1" applyFill="1" applyBorder="1" applyAlignment="1">
      <alignment horizontal="center"/>
    </xf>
    <xf numFmtId="38" fontId="3" fillId="4" borderId="4" xfId="0" applyNumberFormat="1" applyFont="1" applyFill="1" applyBorder="1"/>
    <xf numFmtId="171" fontId="3" fillId="4" borderId="5" xfId="0" applyNumberFormat="1" applyFont="1" applyFill="1" applyBorder="1" applyAlignment="1">
      <alignment horizontal="center"/>
    </xf>
    <xf numFmtId="38" fontId="3" fillId="4" borderId="6" xfId="0" applyNumberFormat="1" applyFont="1" applyFill="1" applyBorder="1"/>
    <xf numFmtId="38" fontId="3" fillId="4" borderId="7" xfId="0" applyNumberFormat="1" applyFont="1" applyFill="1" applyBorder="1" applyAlignment="1">
      <alignment horizontal="center"/>
    </xf>
    <xf numFmtId="10" fontId="6" fillId="0" borderId="0" xfId="1" applyNumberFormat="1" applyFont="1" applyFill="1" applyAlignment="1">
      <alignment horizontal="center"/>
    </xf>
    <xf numFmtId="38" fontId="6" fillId="0" borderId="0" xfId="0" applyNumberFormat="1" applyFont="1" applyAlignment="1">
      <alignment horizontal="center"/>
    </xf>
    <xf numFmtId="172" fontId="0" fillId="2" borderId="0" xfId="0" applyNumberFormat="1" applyFill="1" applyAlignment="1">
      <alignment horizontal="center"/>
    </xf>
    <xf numFmtId="172" fontId="0" fillId="0" borderId="0" xfId="0" applyNumberFormat="1" applyAlignment="1">
      <alignment horizontal="center"/>
    </xf>
    <xf numFmtId="0" fontId="11" fillId="6" borderId="11" xfId="0" applyFont="1" applyFill="1" applyBorder="1"/>
    <xf numFmtId="172" fontId="13" fillId="6" borderId="12" xfId="3" applyNumberFormat="1" applyFont="1" applyFill="1" applyBorder="1" applyAlignment="1">
      <alignment horizontal="center"/>
    </xf>
    <xf numFmtId="38" fontId="0" fillId="0" borderId="11" xfId="0" applyNumberFormat="1" applyBorder="1"/>
    <xf numFmtId="38" fontId="3" fillId="7" borderId="11" xfId="0" applyNumberFormat="1" applyFont="1" applyFill="1" applyBorder="1"/>
    <xf numFmtId="38" fontId="0" fillId="0" borderId="13" xfId="0" applyNumberFormat="1" applyBorder="1"/>
    <xf numFmtId="38" fontId="2" fillId="5" borderId="8" xfId="0" applyNumberFormat="1" applyFont="1" applyFill="1" applyBorder="1"/>
    <xf numFmtId="166" fontId="2" fillId="5" borderId="9" xfId="0" applyNumberFormat="1" applyFont="1" applyFill="1" applyBorder="1" applyAlignment="1">
      <alignment horizontal="center"/>
    </xf>
    <xf numFmtId="166" fontId="2" fillId="5" borderId="10" xfId="0" applyNumberFormat="1" applyFont="1" applyFill="1" applyBorder="1" applyAlignment="1">
      <alignment horizontal="center"/>
    </xf>
    <xf numFmtId="38" fontId="2" fillId="5" borderId="17" xfId="0" applyNumberFormat="1" applyFont="1" applyFill="1" applyBorder="1" applyAlignment="1">
      <alignment horizontal="center"/>
    </xf>
    <xf numFmtId="38" fontId="2" fillId="5" borderId="18" xfId="0" applyNumberFormat="1" applyFont="1" applyFill="1" applyBorder="1" applyAlignment="1">
      <alignment horizontal="center"/>
    </xf>
    <xf numFmtId="38" fontId="2" fillId="5" borderId="19" xfId="0" applyNumberFormat="1" applyFont="1" applyFill="1" applyBorder="1" applyAlignment="1">
      <alignment horizontal="center"/>
    </xf>
    <xf numFmtId="38" fontId="10" fillId="0" borderId="11" xfId="0" applyNumberFormat="1" applyFont="1" applyBorder="1"/>
    <xf numFmtId="14" fontId="14" fillId="0" borderId="0" xfId="0" applyNumberFormat="1" applyFont="1" applyAlignment="1">
      <alignment horizontal="center"/>
    </xf>
    <xf numFmtId="14" fontId="10" fillId="0" borderId="0" xfId="0" applyNumberFormat="1" applyFont="1" applyAlignment="1">
      <alignment horizontal="center"/>
    </xf>
    <xf numFmtId="14" fontId="10" fillId="0" borderId="12" xfId="0" applyNumberFormat="1" applyFont="1" applyBorder="1" applyAlignment="1">
      <alignment horizontal="center"/>
    </xf>
    <xf numFmtId="168" fontId="0" fillId="0" borderId="11" xfId="0" applyNumberFormat="1" applyBorder="1" applyAlignment="1">
      <alignment horizontal="center"/>
    </xf>
    <xf numFmtId="170" fontId="6" fillId="0" borderId="0" xfId="0" applyNumberFormat="1" applyFont="1" applyAlignment="1">
      <alignment horizontal="center"/>
    </xf>
    <xf numFmtId="170" fontId="8" fillId="0" borderId="12" xfId="0" applyNumberFormat="1" applyFont="1" applyBorder="1" applyAlignment="1">
      <alignment horizontal="center"/>
    </xf>
    <xf numFmtId="38" fontId="0" fillId="0" borderId="8" xfId="0" applyNumberFormat="1" applyBorder="1"/>
    <xf numFmtId="38" fontId="0" fillId="0" borderId="9" xfId="0" applyNumberFormat="1" applyBorder="1" applyAlignment="1">
      <alignment horizontal="center"/>
    </xf>
    <xf numFmtId="38" fontId="0" fillId="0" borderId="10" xfId="0" applyNumberFormat="1" applyBorder="1" applyAlignment="1">
      <alignment horizontal="center"/>
    </xf>
    <xf numFmtId="38" fontId="0" fillId="0" borderId="11" xfId="0" applyNumberFormat="1" applyBorder="1" applyAlignment="1">
      <alignment horizontal="center"/>
    </xf>
    <xf numFmtId="10" fontId="6" fillId="0" borderId="0" xfId="1" applyNumberFormat="1" applyFont="1" applyBorder="1" applyAlignment="1">
      <alignment horizontal="center"/>
    </xf>
    <xf numFmtId="10" fontId="6" fillId="0" borderId="12" xfId="1" applyNumberFormat="1" applyFont="1" applyBorder="1" applyAlignment="1">
      <alignment horizontal="center"/>
    </xf>
    <xf numFmtId="38" fontId="0" fillId="0" borderId="12" xfId="0" applyNumberFormat="1" applyBorder="1" applyAlignment="1">
      <alignment horizontal="center"/>
    </xf>
    <xf numFmtId="38" fontId="3" fillId="4" borderId="20" xfId="0" applyNumberFormat="1" applyFont="1" applyFill="1" applyBorder="1"/>
    <xf numFmtId="38" fontId="3" fillId="4" borderId="21" xfId="0" applyNumberFormat="1" applyFont="1" applyFill="1" applyBorder="1" applyAlignment="1">
      <alignment horizontal="center"/>
    </xf>
    <xf numFmtId="38" fontId="3" fillId="4" borderId="22" xfId="0" applyNumberFormat="1" applyFont="1" applyFill="1" applyBorder="1" applyAlignment="1">
      <alignment horizontal="center"/>
    </xf>
    <xf numFmtId="38" fontId="0" fillId="3" borderId="20" xfId="0" applyNumberFormat="1" applyFill="1" applyBorder="1"/>
    <xf numFmtId="10" fontId="6" fillId="3" borderId="21" xfId="1" applyNumberFormat="1" applyFont="1" applyFill="1" applyBorder="1" applyAlignment="1">
      <alignment horizontal="center"/>
    </xf>
    <xf numFmtId="10" fontId="6" fillId="3" borderId="22" xfId="1" applyNumberFormat="1" applyFont="1" applyFill="1" applyBorder="1" applyAlignment="1">
      <alignment horizontal="center"/>
    </xf>
    <xf numFmtId="38" fontId="3" fillId="4" borderId="20" xfId="0" applyNumberFormat="1" applyFont="1" applyFill="1" applyBorder="1" applyAlignment="1">
      <alignment horizontal="center"/>
    </xf>
    <xf numFmtId="38" fontId="0" fillId="2" borderId="0" xfId="0" applyNumberFormat="1" applyFill="1" applyAlignment="1">
      <alignment horizontal="right"/>
    </xf>
    <xf numFmtId="164" fontId="7" fillId="8" borderId="0" xfId="0" applyNumberFormat="1" applyFont="1" applyFill="1"/>
    <xf numFmtId="171" fontId="15" fillId="0" borderId="0" xfId="0" applyNumberFormat="1" applyFont="1"/>
    <xf numFmtId="10" fontId="15" fillId="0" borderId="0" xfId="0" applyNumberFormat="1" applyFont="1"/>
    <xf numFmtId="164" fontId="8" fillId="0" borderId="0" xfId="0" applyNumberFormat="1" applyFont="1"/>
    <xf numFmtId="164" fontId="0" fillId="0" borderId="0" xfId="0" applyNumberFormat="1"/>
    <xf numFmtId="165" fontId="0" fillId="0" borderId="0" xfId="0" applyNumberFormat="1"/>
    <xf numFmtId="171" fontId="16" fillId="0" borderId="0" xfId="0" applyNumberFormat="1" applyFont="1"/>
    <xf numFmtId="10" fontId="16" fillId="0" borderId="0" xfId="0" applyNumberFormat="1" applyFont="1"/>
    <xf numFmtId="0" fontId="3" fillId="4" borderId="20" xfId="0" applyFont="1" applyFill="1" applyBorder="1"/>
    <xf numFmtId="164" fontId="3" fillId="4" borderId="22" xfId="0" applyNumberFormat="1" applyFont="1" applyFill="1" applyBorder="1"/>
    <xf numFmtId="38" fontId="3" fillId="0" borderId="9" xfId="0" applyNumberFormat="1" applyFont="1" applyBorder="1" applyAlignment="1">
      <alignment horizontal="center"/>
    </xf>
    <xf numFmtId="38" fontId="3" fillId="0" borderId="0" xfId="0" applyNumberFormat="1" applyFont="1" applyAlignment="1">
      <alignment vertical="center"/>
    </xf>
    <xf numFmtId="38" fontId="5" fillId="0" borderId="0" xfId="0" applyNumberFormat="1" applyFont="1" applyAlignment="1">
      <alignment vertical="center"/>
    </xf>
    <xf numFmtId="38" fontId="2" fillId="5" borderId="14" xfId="0" applyNumberFormat="1" applyFont="1" applyFill="1" applyBorder="1"/>
    <xf numFmtId="38" fontId="2" fillId="5" borderId="15" xfId="0" applyNumberFormat="1" applyFont="1" applyFill="1" applyBorder="1"/>
    <xf numFmtId="38" fontId="2" fillId="5" borderId="16" xfId="0" applyNumberFormat="1" applyFont="1" applyFill="1" applyBorder="1"/>
    <xf numFmtId="38" fontId="2" fillId="5" borderId="11" xfId="0" applyNumberFormat="1" applyFont="1" applyFill="1" applyBorder="1"/>
    <xf numFmtId="172" fontId="6" fillId="0" borderId="0" xfId="1" applyNumberFormat="1" applyFont="1" applyFill="1" applyBorder="1" applyAlignment="1">
      <alignment horizontal="center"/>
    </xf>
    <xf numFmtId="10" fontId="3" fillId="7" borderId="21" xfId="1" applyNumberFormat="1" applyFont="1" applyFill="1" applyBorder="1" applyAlignment="1">
      <alignment horizontal="center"/>
    </xf>
    <xf numFmtId="38" fontId="2" fillId="5" borderId="12" xfId="0" applyNumberFormat="1" applyFont="1" applyFill="1" applyBorder="1" applyAlignment="1">
      <alignment horizontal="centerContinuous"/>
    </xf>
    <xf numFmtId="38" fontId="3" fillId="7" borderId="20" xfId="0" applyNumberFormat="1" applyFont="1" applyFill="1" applyBorder="1"/>
    <xf numFmtId="38" fontId="3" fillId="7" borderId="21" xfId="0" applyNumberFormat="1" applyFont="1" applyFill="1" applyBorder="1"/>
    <xf numFmtId="38" fontId="3" fillId="7" borderId="21" xfId="0" applyNumberFormat="1" applyFont="1" applyFill="1" applyBorder="1" applyAlignment="1">
      <alignment horizontal="center"/>
    </xf>
    <xf numFmtId="172" fontId="3" fillId="7" borderId="21" xfId="0" applyNumberFormat="1" applyFont="1" applyFill="1" applyBorder="1" applyAlignment="1">
      <alignment horizontal="center"/>
    </xf>
    <xf numFmtId="38" fontId="2" fillId="5" borderId="23" xfId="0" applyNumberFormat="1" applyFont="1" applyFill="1" applyBorder="1" applyAlignment="1">
      <alignment horizontal="centerContinuous"/>
    </xf>
    <xf numFmtId="38" fontId="2" fillId="5" borderId="24" xfId="0" applyNumberFormat="1" applyFont="1" applyFill="1" applyBorder="1" applyAlignment="1">
      <alignment horizontal="centerContinuous"/>
    </xf>
    <xf numFmtId="0" fontId="13" fillId="6" borderId="11" xfId="2" applyFont="1" applyFill="1" applyBorder="1" applyAlignment="1">
      <alignment horizontal="center"/>
    </xf>
    <xf numFmtId="38" fontId="6" fillId="0" borderId="11" xfId="0" applyNumberFormat="1" applyFont="1" applyBorder="1" applyAlignment="1">
      <alignment horizontal="center"/>
    </xf>
    <xf numFmtId="38" fontId="3" fillId="7" borderId="11" xfId="0" applyNumberFormat="1" applyFont="1" applyFill="1" applyBorder="1" applyAlignment="1">
      <alignment horizontal="center"/>
    </xf>
    <xf numFmtId="3" fontId="13" fillId="6" borderId="11" xfId="3" applyNumberFormat="1" applyFont="1" applyFill="1" applyBorder="1" applyAlignment="1">
      <alignment horizontal="center"/>
    </xf>
    <xf numFmtId="38" fontId="3" fillId="7" borderId="20" xfId="0" applyNumberFormat="1" applyFont="1" applyFill="1" applyBorder="1" applyAlignment="1">
      <alignment horizontal="center"/>
    </xf>
    <xf numFmtId="38" fontId="2" fillId="5" borderId="25" xfId="0" applyNumberFormat="1" applyFont="1" applyFill="1" applyBorder="1" applyAlignment="1">
      <alignment horizontal="centerContinuous"/>
    </xf>
    <xf numFmtId="10" fontId="0" fillId="0" borderId="12" xfId="0" applyNumberFormat="1" applyBorder="1"/>
    <xf numFmtId="10" fontId="0" fillId="7" borderId="12" xfId="0" applyNumberFormat="1" applyFill="1" applyBorder="1"/>
    <xf numFmtId="38" fontId="11" fillId="6" borderId="12" xfId="0" applyNumberFormat="1" applyFont="1" applyFill="1" applyBorder="1"/>
    <xf numFmtId="10" fontId="3" fillId="7" borderId="22" xfId="1" applyNumberFormat="1" applyFont="1" applyFill="1" applyBorder="1" applyAlignment="1">
      <alignment horizontal="center"/>
    </xf>
    <xf numFmtId="172" fontId="13" fillId="6" borderId="0" xfId="3" applyNumberFormat="1" applyFont="1" applyFill="1" applyAlignment="1">
      <alignment horizontal="center"/>
    </xf>
    <xf numFmtId="172" fontId="8" fillId="0" borderId="0" xfId="0" applyNumberFormat="1" applyFont="1" applyAlignment="1">
      <alignment horizontal="center"/>
    </xf>
    <xf numFmtId="172" fontId="3" fillId="7" borderId="0" xfId="0" applyNumberFormat="1" applyFont="1" applyFill="1" applyAlignment="1">
      <alignment horizontal="center"/>
    </xf>
    <xf numFmtId="38" fontId="2" fillId="5" borderId="0" xfId="0" applyNumberFormat="1" applyFont="1" applyFill="1"/>
    <xf numFmtId="38" fontId="2" fillId="5" borderId="0" xfId="0" applyNumberFormat="1" applyFont="1" applyFill="1" applyAlignment="1">
      <alignment horizontal="centerContinuous"/>
    </xf>
    <xf numFmtId="38" fontId="11" fillId="6" borderId="0" xfId="0" applyNumberFormat="1" applyFont="1" applyFill="1"/>
    <xf numFmtId="0" fontId="13" fillId="6" borderId="0" xfId="2" applyFont="1" applyFill="1" applyAlignment="1">
      <alignment horizontal="center"/>
    </xf>
    <xf numFmtId="10" fontId="0" fillId="0" borderId="0" xfId="0" applyNumberFormat="1"/>
    <xf numFmtId="38" fontId="0" fillId="7" borderId="0" xfId="0" applyNumberFormat="1" applyFill="1"/>
    <xf numFmtId="38" fontId="3" fillId="7" borderId="0" xfId="0" applyNumberFormat="1" applyFont="1" applyFill="1" applyAlignment="1">
      <alignment horizontal="center"/>
    </xf>
    <xf numFmtId="10" fontId="3" fillId="7" borderId="12" xfId="1" applyNumberFormat="1" applyFont="1" applyFill="1" applyBorder="1" applyAlignment="1">
      <alignment horizontal="center"/>
    </xf>
    <xf numFmtId="3" fontId="13" fillId="6" borderId="0" xfId="3" applyNumberFormat="1" applyFont="1" applyFill="1" applyAlignment="1">
      <alignment horizontal="center"/>
    </xf>
    <xf numFmtId="10" fontId="13" fillId="6" borderId="12" xfId="1" applyNumberFormat="1" applyFont="1" applyFill="1" applyBorder="1" applyAlignment="1">
      <alignment horizontal="center"/>
    </xf>
    <xf numFmtId="10" fontId="1" fillId="0" borderId="12" xfId="1" applyNumberFormat="1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10" fontId="3" fillId="7" borderId="0" xfId="0" applyNumberFormat="1" applyFont="1" applyFill="1"/>
    <xf numFmtId="10" fontId="18" fillId="0" borderId="0" xfId="0" applyNumberFormat="1" applyFont="1"/>
    <xf numFmtId="165" fontId="8" fillId="0" borderId="0" xfId="0" applyNumberFormat="1" applyFont="1" applyAlignment="1">
      <alignment horizontal="center"/>
    </xf>
    <xf numFmtId="165" fontId="3" fillId="4" borderId="21" xfId="0" applyNumberFormat="1" applyFont="1" applyFill="1" applyBorder="1" applyAlignment="1">
      <alignment horizontal="center"/>
    </xf>
    <xf numFmtId="38" fontId="2" fillId="5" borderId="8" xfId="0" applyNumberFormat="1" applyFont="1" applyFill="1" applyBorder="1" applyAlignment="1">
      <alignment horizontal="centerContinuous"/>
    </xf>
    <xf numFmtId="38" fontId="2" fillId="5" borderId="9" xfId="0" applyNumberFormat="1" applyFont="1" applyFill="1" applyBorder="1" applyAlignment="1">
      <alignment horizontal="centerContinuous"/>
    </xf>
    <xf numFmtId="38" fontId="2" fillId="5" borderId="10" xfId="0" applyNumberFormat="1" applyFont="1" applyFill="1" applyBorder="1" applyAlignment="1">
      <alignment horizontal="centerContinuous"/>
    </xf>
    <xf numFmtId="38" fontId="6" fillId="9" borderId="0" xfId="0" applyNumberFormat="1" applyFont="1" applyFill="1" applyAlignment="1">
      <alignment horizontal="right"/>
    </xf>
    <xf numFmtId="166" fontId="7" fillId="0" borderId="0" xfId="0" applyNumberFormat="1" applyFont="1" applyAlignment="1">
      <alignment horizontal="center"/>
    </xf>
    <xf numFmtId="164" fontId="18" fillId="0" borderId="0" xfId="0" applyNumberFormat="1" applyFont="1"/>
    <xf numFmtId="173" fontId="9" fillId="3" borderId="0" xfId="1" applyNumberFormat="1" applyFont="1" applyFill="1" applyAlignment="1">
      <alignment horizontal="center"/>
    </xf>
    <xf numFmtId="38" fontId="0" fillId="0" borderId="9" xfId="0" applyNumberFormat="1" applyBorder="1"/>
    <xf numFmtId="38" fontId="3" fillId="4" borderId="21" xfId="0" applyNumberFormat="1" applyFont="1" applyFill="1" applyBorder="1"/>
    <xf numFmtId="38" fontId="0" fillId="3" borderId="21" xfId="0" applyNumberFormat="1" applyFill="1" applyBorder="1"/>
    <xf numFmtId="0" fontId="21" fillId="0" borderId="1" xfId="0" applyFont="1" applyBorder="1"/>
    <xf numFmtId="0" fontId="22" fillId="0" borderId="1" xfId="0" applyFont="1" applyBorder="1"/>
    <xf numFmtId="0" fontId="22" fillId="0" borderId="0" xfId="0" applyFont="1"/>
    <xf numFmtId="6" fontId="22" fillId="0" borderId="0" xfId="0" applyNumberFormat="1" applyFont="1"/>
    <xf numFmtId="10" fontId="22" fillId="0" borderId="0" xfId="0" applyNumberFormat="1" applyFont="1"/>
    <xf numFmtId="6" fontId="22" fillId="0" borderId="1" xfId="0" applyNumberFormat="1" applyFont="1" applyBorder="1"/>
    <xf numFmtId="0" fontId="21" fillId="0" borderId="0" xfId="0" applyFont="1"/>
    <xf numFmtId="0" fontId="21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21" fillId="0" borderId="1" xfId="0" applyFont="1" applyBorder="1" applyAlignment="1">
      <alignment horizontal="center"/>
    </xf>
    <xf numFmtId="38" fontId="6" fillId="0" borderId="0" xfId="0" applyNumberFormat="1" applyFont="1"/>
    <xf numFmtId="38" fontId="22" fillId="0" borderId="0" xfId="0" applyNumberFormat="1" applyFont="1"/>
    <xf numFmtId="38" fontId="23" fillId="0" borderId="0" xfId="0" applyNumberFormat="1" applyFont="1"/>
    <xf numFmtId="0" fontId="21" fillId="0" borderId="1" xfId="0" applyFont="1" applyBorder="1" applyAlignment="1">
      <alignment horizontal="right"/>
    </xf>
    <xf numFmtId="167" fontId="6" fillId="0" borderId="0" xfId="0" applyNumberFormat="1" applyFont="1" applyAlignment="1">
      <alignment horizontal="right"/>
    </xf>
    <xf numFmtId="38" fontId="0" fillId="0" borderId="0" xfId="0" quotePrefix="1" applyNumberFormat="1" applyAlignment="1">
      <alignment horizontal="left"/>
    </xf>
    <xf numFmtId="4" fontId="6" fillId="0" borderId="0" xfId="0" applyNumberFormat="1" applyFont="1" applyAlignment="1">
      <alignment horizontal="right"/>
    </xf>
    <xf numFmtId="38" fontId="23" fillId="0" borderId="0" xfId="0" applyNumberFormat="1" applyFont="1" applyAlignment="1">
      <alignment horizontal="center"/>
    </xf>
    <xf numFmtId="10" fontId="6" fillId="0" borderId="0" xfId="0" applyNumberFormat="1" applyFont="1"/>
    <xf numFmtId="6" fontId="6" fillId="0" borderId="0" xfId="0" applyNumberFormat="1" applyFont="1" applyAlignment="1">
      <alignment horizontal="right"/>
    </xf>
    <xf numFmtId="6" fontId="0" fillId="0" borderId="0" xfId="0" applyNumberFormat="1"/>
    <xf numFmtId="6" fontId="0" fillId="0" borderId="0" xfId="0" applyNumberFormat="1" applyAlignment="1">
      <alignment horizontal="center"/>
    </xf>
    <xf numFmtId="6" fontId="0" fillId="0" borderId="12" xfId="0" applyNumberFormat="1" applyBorder="1" applyAlignment="1">
      <alignment horizontal="center"/>
    </xf>
    <xf numFmtId="6" fontId="7" fillId="0" borderId="0" xfId="0" applyNumberFormat="1" applyFont="1" applyAlignment="1">
      <alignment horizontal="center"/>
    </xf>
    <xf numFmtId="38" fontId="0" fillId="0" borderId="0" xfId="0" applyNumberFormat="1" applyAlignment="1">
      <alignment horizontal="right" vertical="center"/>
    </xf>
    <xf numFmtId="38" fontId="5" fillId="0" borderId="0" xfId="0" applyNumberFormat="1" applyFont="1" applyAlignment="1">
      <alignment horizontal="left" vertical="center"/>
    </xf>
    <xf numFmtId="0" fontId="4" fillId="5" borderId="20" xfId="0" applyFont="1" applyFill="1" applyBorder="1" applyAlignment="1">
      <alignment horizontal="center"/>
    </xf>
    <xf numFmtId="0" fontId="4" fillId="5" borderId="22" xfId="0" applyFont="1" applyFill="1" applyBorder="1" applyAlignment="1">
      <alignment horizontal="center"/>
    </xf>
  </cellXfs>
  <cellStyles count="6">
    <cellStyle name="Normal" xfId="0" builtinId="0"/>
    <cellStyle name="Normal 10" xfId="2" xr:uid="{4C6852C2-8615-4693-A99A-74B64155A0C9}"/>
    <cellStyle name="Normal 2" xfId="3" xr:uid="{D7CCDA33-3F7A-48BF-B167-3DEAC5101579}"/>
    <cellStyle name="Normal 2 2" xfId="4" xr:uid="{26E046CA-56F3-497A-9889-AC1ADFEC2151}"/>
    <cellStyle name="Percent" xfId="1" builtinId="5"/>
    <cellStyle name="Percent 2" xfId="5" xr:uid="{85D76C5F-A8E3-4A83-A3C5-D763C0526EF5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6A71-CEC8-4175-B748-4F53EF9062DE}">
  <sheetPr>
    <tabColor theme="9" tint="0.79998168889431442"/>
  </sheetPr>
  <dimension ref="B1:V69"/>
  <sheetViews>
    <sheetView tabSelected="1" zoomScale="91" zoomScaleNormal="75" workbookViewId="0">
      <selection activeCell="U46" sqref="U46"/>
    </sheetView>
  </sheetViews>
  <sheetFormatPr baseColWidth="10" defaultColWidth="12.6640625" defaultRowHeight="15" x14ac:dyDescent="0.2"/>
  <cols>
    <col min="1" max="1" width="2.1640625" style="3" customWidth="1"/>
    <col min="2" max="2" width="24.5" style="3" customWidth="1"/>
    <col min="3" max="3" width="2.1640625" style="3" customWidth="1"/>
    <col min="4" max="4" width="48.1640625" style="3" bestFit="1" customWidth="1"/>
    <col min="5" max="5" width="2.1640625" style="3" customWidth="1"/>
    <col min="6" max="6" width="2.1640625" style="3" hidden="1" customWidth="1"/>
    <col min="7" max="7" width="30.1640625" style="3" customWidth="1"/>
    <col min="8" max="9" width="2.1640625" style="3" customWidth="1"/>
    <col min="10" max="10" width="33.5" style="3" bestFit="1" customWidth="1"/>
    <col min="11" max="11" width="23.33203125" style="4" bestFit="1" customWidth="1"/>
    <col min="12" max="14" width="12.6640625" style="4"/>
    <col min="15" max="15" width="14.5" style="4" bestFit="1" customWidth="1"/>
    <col min="16" max="22" width="12.6640625" style="4"/>
    <col min="23" max="16384" width="12.6640625" style="3"/>
  </cols>
  <sheetData>
    <row r="1" spans="2:22" ht="29" customHeight="1" x14ac:dyDescent="0.2">
      <c r="C1" s="1" t="s">
        <v>0</v>
      </c>
      <c r="D1" s="1"/>
      <c r="E1" s="1"/>
      <c r="F1" s="1"/>
      <c r="G1" s="2"/>
    </row>
    <row r="2" spans="2:22" s="5" customFormat="1" ht="3" customHeight="1" x14ac:dyDescent="0.2"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2:22" ht="3" customHeight="1" x14ac:dyDescent="0.2">
      <c r="G3" s="7"/>
    </row>
    <row r="4" spans="2:22" s="5" customFormat="1" ht="3" customHeight="1" x14ac:dyDescent="0.2"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2:22" x14ac:dyDescent="0.2">
      <c r="B5" s="8"/>
      <c r="G5" s="7"/>
    </row>
    <row r="6" spans="2:22" x14ac:dyDescent="0.2">
      <c r="C6" s="8" t="s">
        <v>1</v>
      </c>
      <c r="D6" s="8"/>
      <c r="K6" s="9">
        <v>0</v>
      </c>
      <c r="L6" s="9">
        <f>+K6+1</f>
        <v>1</v>
      </c>
      <c r="M6" s="9">
        <f t="shared" ref="M6:V6" si="0">+L6+1</f>
        <v>2</v>
      </c>
      <c r="N6" s="9">
        <f t="shared" si="0"/>
        <v>3</v>
      </c>
      <c r="O6" s="9">
        <f t="shared" si="0"/>
        <v>4</v>
      </c>
      <c r="P6" s="9">
        <f t="shared" si="0"/>
        <v>5</v>
      </c>
      <c r="Q6" s="9">
        <f t="shared" si="0"/>
        <v>6</v>
      </c>
      <c r="R6" s="9">
        <f t="shared" si="0"/>
        <v>7</v>
      </c>
      <c r="S6" s="9">
        <f t="shared" si="0"/>
        <v>8</v>
      </c>
      <c r="T6" s="9">
        <f t="shared" si="0"/>
        <v>9</v>
      </c>
      <c r="U6" s="9">
        <f t="shared" si="0"/>
        <v>10</v>
      </c>
      <c r="V6" s="9">
        <f t="shared" si="0"/>
        <v>11</v>
      </c>
    </row>
    <row r="7" spans="2:22" x14ac:dyDescent="0.2">
      <c r="D7" s="3" t="s">
        <v>2</v>
      </c>
      <c r="G7" s="10" t="s">
        <v>3</v>
      </c>
      <c r="K7" s="11">
        <f>+G11</f>
        <v>46022</v>
      </c>
      <c r="L7" s="11">
        <f>EDATE(K7,12)</f>
        <v>46387</v>
      </c>
      <c r="M7" s="11">
        <f t="shared" ref="M7:V7" si="1">EDATE(L7,12)</f>
        <v>46752</v>
      </c>
      <c r="N7" s="11">
        <f t="shared" si="1"/>
        <v>47118</v>
      </c>
      <c r="O7" s="11">
        <f t="shared" si="1"/>
        <v>47483</v>
      </c>
      <c r="P7" s="11">
        <f t="shared" si="1"/>
        <v>47848</v>
      </c>
      <c r="Q7" s="11">
        <f t="shared" si="1"/>
        <v>48213</v>
      </c>
      <c r="R7" s="11">
        <f t="shared" si="1"/>
        <v>48579</v>
      </c>
      <c r="S7" s="11">
        <f t="shared" si="1"/>
        <v>48944</v>
      </c>
      <c r="T7" s="11">
        <f t="shared" si="1"/>
        <v>49309</v>
      </c>
      <c r="U7" s="11">
        <f t="shared" si="1"/>
        <v>49674</v>
      </c>
      <c r="V7" s="11">
        <f t="shared" si="1"/>
        <v>50040</v>
      </c>
    </row>
    <row r="8" spans="2:22" x14ac:dyDescent="0.2">
      <c r="D8" s="3" t="s">
        <v>4</v>
      </c>
      <c r="G8" s="131" t="s">
        <v>177</v>
      </c>
      <c r="J8" s="8" t="s">
        <v>5</v>
      </c>
    </row>
    <row r="9" spans="2:22" x14ac:dyDescent="0.2">
      <c r="D9" s="3" t="s">
        <v>6</v>
      </c>
      <c r="G9" s="152">
        <v>28</v>
      </c>
      <c r="J9" s="12" t="s">
        <v>7</v>
      </c>
      <c r="L9" s="161">
        <f>'Rent Roll'!K17</f>
        <v>519367.5</v>
      </c>
      <c r="M9" s="161">
        <f>'Rent Roll'!L17</f>
        <v>554220.67500000005</v>
      </c>
      <c r="N9" s="161">
        <f>'Rent Roll'!M17</f>
        <v>594187.00987499999</v>
      </c>
      <c r="O9" s="161">
        <f>'Rent Roll'!N17</f>
        <v>634067.86971374997</v>
      </c>
      <c r="P9" s="161">
        <f>'Rent Roll'!O17</f>
        <v>673458.75538723124</v>
      </c>
      <c r="Q9" s="161">
        <f>'Rent Roll'!P17</f>
        <v>698464.16819333332</v>
      </c>
      <c r="R9" s="161">
        <f>'Rent Roll'!Q17</f>
        <v>724402.14470235072</v>
      </c>
      <c r="S9" s="161">
        <f>'Rent Roll'!R17</f>
        <v>751307.61961407401</v>
      </c>
      <c r="T9" s="161">
        <f>'Rent Roll'!S17</f>
        <v>779216.84214159311</v>
      </c>
      <c r="U9" s="161">
        <f>'Rent Roll'!T17</f>
        <v>808167.42569121637</v>
      </c>
      <c r="V9" s="161">
        <f>'Rent Roll'!U17</f>
        <v>838198.39942806331</v>
      </c>
    </row>
    <row r="10" spans="2:22" x14ac:dyDescent="0.2">
      <c r="D10" s="3" t="s">
        <v>8</v>
      </c>
      <c r="G10" s="10">
        <v>23865</v>
      </c>
      <c r="J10" s="12" t="s">
        <v>9</v>
      </c>
      <c r="L10" s="4">
        <f>'Rent Roll'!K21</f>
        <v>-77905.125</v>
      </c>
      <c r="M10" s="4">
        <f>'Rent Roll'!L21</f>
        <v>-110844.13500000001</v>
      </c>
      <c r="N10" s="4">
        <f>'Rent Roll'!M21</f>
        <v>-89128.05148124999</v>
      </c>
      <c r="O10" s="4">
        <f>'Rent Roll'!N21</f>
        <v>-63406.786971374997</v>
      </c>
      <c r="P10" s="4">
        <f>'Rent Roll'!O21</f>
        <v>-67345.875538723121</v>
      </c>
      <c r="Q10" s="4">
        <f>'Rent Roll'!P21</f>
        <v>-34923.208409666666</v>
      </c>
      <c r="R10" s="4">
        <f>'Rent Roll'!Q21</f>
        <v>-21732.06434107052</v>
      </c>
      <c r="S10" s="4">
        <f>'Rent Roll'!R21</f>
        <v>-22539.228588422218</v>
      </c>
      <c r="T10" s="4">
        <f>'Rent Roll'!S21</f>
        <v>-23376.505264247793</v>
      </c>
      <c r="U10" s="4">
        <f>'Rent Roll'!T21</f>
        <v>-24245.02277073649</v>
      </c>
      <c r="V10" s="4">
        <f>'Rent Roll'!U21</f>
        <v>-25145.9519828419</v>
      </c>
    </row>
    <row r="11" spans="2:22" x14ac:dyDescent="0.2">
      <c r="C11" s="3" t="s">
        <v>10</v>
      </c>
      <c r="D11" s="3" t="s">
        <v>11</v>
      </c>
      <c r="G11" s="14">
        <v>46022</v>
      </c>
      <c r="J11" s="12" t="s">
        <v>12</v>
      </c>
      <c r="L11" s="4">
        <f>-L9*$G$22</f>
        <v>-10387.35</v>
      </c>
      <c r="M11" s="4">
        <f t="shared" ref="M11:V11" si="2">-M9*$G$22</f>
        <v>-11084.413500000001</v>
      </c>
      <c r="N11" s="4">
        <f t="shared" si="2"/>
        <v>-11883.740197499999</v>
      </c>
      <c r="O11" s="4">
        <f t="shared" si="2"/>
        <v>-12681.357394274999</v>
      </c>
      <c r="P11" s="4">
        <f t="shared" si="2"/>
        <v>-13469.175107744624</v>
      </c>
      <c r="Q11" s="4">
        <f t="shared" si="2"/>
        <v>-13969.283363866667</v>
      </c>
      <c r="R11" s="4">
        <f t="shared" si="2"/>
        <v>-14488.042894047016</v>
      </c>
      <c r="S11" s="4">
        <f t="shared" si="2"/>
        <v>-15026.152392281481</v>
      </c>
      <c r="T11" s="4">
        <f t="shared" si="2"/>
        <v>-15584.336842831863</v>
      </c>
      <c r="U11" s="4">
        <f t="shared" si="2"/>
        <v>-16163.348513824329</v>
      </c>
      <c r="V11" s="4">
        <f t="shared" si="2"/>
        <v>-16763.967988561268</v>
      </c>
    </row>
    <row r="12" spans="2:22" x14ac:dyDescent="0.2">
      <c r="D12" s="3" t="s">
        <v>13</v>
      </c>
      <c r="G12" s="15">
        <v>10</v>
      </c>
      <c r="J12" s="16" t="s">
        <v>14</v>
      </c>
      <c r="K12" s="17"/>
      <c r="L12" s="4">
        <f>G9*G23</f>
        <v>70000</v>
      </c>
      <c r="M12" s="4">
        <f>L12*(1+$G$22)</f>
        <v>71400</v>
      </c>
      <c r="N12" s="4">
        <f t="shared" ref="N12:V12" si="3">M12*(1+$G$22)</f>
        <v>72828</v>
      </c>
      <c r="O12" s="4">
        <f t="shared" si="3"/>
        <v>74284.56</v>
      </c>
      <c r="P12" s="4">
        <f t="shared" si="3"/>
        <v>75770.251199999999</v>
      </c>
      <c r="Q12" s="4">
        <f t="shared" si="3"/>
        <v>77285.656224000006</v>
      </c>
      <c r="R12" s="4">
        <f t="shared" si="3"/>
        <v>78831.369348480002</v>
      </c>
      <c r="S12" s="4">
        <f t="shared" si="3"/>
        <v>80407.996735449604</v>
      </c>
      <c r="T12" s="4">
        <f t="shared" si="3"/>
        <v>82016.156670158598</v>
      </c>
      <c r="U12" s="4">
        <f t="shared" si="3"/>
        <v>83656.479803561771</v>
      </c>
      <c r="V12" s="4">
        <f t="shared" si="3"/>
        <v>85329.609399633002</v>
      </c>
    </row>
    <row r="13" spans="2:22" x14ac:dyDescent="0.2">
      <c r="D13" s="3" t="s">
        <v>15</v>
      </c>
      <c r="G13" s="18">
        <v>49674</v>
      </c>
      <c r="J13" s="8" t="s">
        <v>16</v>
      </c>
      <c r="L13" s="83">
        <f>SUM(L9:L12)</f>
        <v>501075.02500000002</v>
      </c>
      <c r="M13" s="83">
        <f t="shared" ref="M13:V13" si="4">SUM(M9:M12)</f>
        <v>503692.12650000001</v>
      </c>
      <c r="N13" s="83">
        <f t="shared" si="4"/>
        <v>566003.21819625003</v>
      </c>
      <c r="O13" s="83">
        <f t="shared" si="4"/>
        <v>632264.28534809989</v>
      </c>
      <c r="P13" s="83">
        <f t="shared" si="4"/>
        <v>668413.95594076347</v>
      </c>
      <c r="Q13" s="83">
        <f t="shared" si="4"/>
        <v>726857.33264380007</v>
      </c>
      <c r="R13" s="83">
        <f t="shared" si="4"/>
        <v>767013.40681571327</v>
      </c>
      <c r="S13" s="83">
        <f t="shared" si="4"/>
        <v>794150.23536882002</v>
      </c>
      <c r="T13" s="83">
        <f t="shared" si="4"/>
        <v>822272.15670467215</v>
      </c>
      <c r="U13" s="83">
        <f t="shared" si="4"/>
        <v>851415.53421021742</v>
      </c>
      <c r="V13" s="83">
        <f t="shared" si="4"/>
        <v>881618.08885629312</v>
      </c>
    </row>
    <row r="14" spans="2:22" x14ac:dyDescent="0.2">
      <c r="D14" s="3" t="s">
        <v>17</v>
      </c>
      <c r="G14" s="157">
        <v>6500000</v>
      </c>
    </row>
    <row r="15" spans="2:22" x14ac:dyDescent="0.2">
      <c r="D15" s="3" t="s">
        <v>18</v>
      </c>
      <c r="G15" s="156">
        <v>1.4999999999999999E-2</v>
      </c>
      <c r="I15" s="116"/>
      <c r="J15" s="8" t="s">
        <v>19</v>
      </c>
    </row>
    <row r="16" spans="2:22" x14ac:dyDescent="0.2">
      <c r="D16" s="3" t="s">
        <v>20</v>
      </c>
      <c r="G16" s="154">
        <f>G15*G14</f>
        <v>97500</v>
      </c>
      <c r="J16" s="12" t="s">
        <v>21</v>
      </c>
      <c r="L16" s="4">
        <f>G27</f>
        <v>55000</v>
      </c>
      <c r="M16" s="4">
        <f>L16*(1+$G$36)</f>
        <v>56650</v>
      </c>
      <c r="N16" s="4">
        <f t="shared" ref="N16:V16" si="5">M16*(1+$G$36)</f>
        <v>58349.5</v>
      </c>
      <c r="O16" s="4">
        <f t="shared" si="5"/>
        <v>60099.985000000001</v>
      </c>
      <c r="P16" s="4">
        <f t="shared" si="5"/>
        <v>61902.984550000001</v>
      </c>
      <c r="Q16" s="4">
        <f t="shared" si="5"/>
        <v>63760.074086500004</v>
      </c>
      <c r="R16" s="4">
        <f t="shared" si="5"/>
        <v>65672.876309095009</v>
      </c>
      <c r="S16" s="4">
        <f t="shared" si="5"/>
        <v>67643.062598367862</v>
      </c>
      <c r="T16" s="4">
        <f t="shared" si="5"/>
        <v>69672.354476318898</v>
      </c>
      <c r="U16" s="4">
        <f t="shared" si="5"/>
        <v>71762.525110608462</v>
      </c>
      <c r="V16" s="4">
        <f t="shared" si="5"/>
        <v>73915.400863926712</v>
      </c>
    </row>
    <row r="17" spans="3:22" x14ac:dyDescent="0.2">
      <c r="D17" s="3" t="s">
        <v>22</v>
      </c>
      <c r="G17" s="20">
        <v>1.2500000000000001E-2</v>
      </c>
      <c r="J17" s="12" t="s">
        <v>23</v>
      </c>
      <c r="L17" s="4">
        <f t="shared" ref="L17:L24" si="6">G28</f>
        <v>34000</v>
      </c>
      <c r="M17" s="4">
        <f t="shared" ref="M17:V21" si="7">L17*(1+$G$36)</f>
        <v>35020</v>
      </c>
      <c r="N17" s="4">
        <f t="shared" si="7"/>
        <v>36070.6</v>
      </c>
      <c r="O17" s="4">
        <f t="shared" si="7"/>
        <v>37152.718000000001</v>
      </c>
      <c r="P17" s="4">
        <f t="shared" si="7"/>
        <v>38267.29954</v>
      </c>
      <c r="Q17" s="4">
        <f t="shared" si="7"/>
        <v>39415.318526200004</v>
      </c>
      <c r="R17" s="4">
        <f t="shared" si="7"/>
        <v>40597.778081986005</v>
      </c>
      <c r="S17" s="4">
        <f t="shared" si="7"/>
        <v>41815.711424445588</v>
      </c>
      <c r="T17" s="4">
        <f t="shared" si="7"/>
        <v>43070.182767178958</v>
      </c>
      <c r="U17" s="4">
        <f t="shared" si="7"/>
        <v>44362.288250194331</v>
      </c>
      <c r="V17" s="4">
        <f t="shared" si="7"/>
        <v>45693.156897700159</v>
      </c>
    </row>
    <row r="18" spans="3:22" x14ac:dyDescent="0.2">
      <c r="D18" s="3" t="s">
        <v>24</v>
      </c>
      <c r="G18" s="3">
        <f>G17*G48</f>
        <v>39099.096781250002</v>
      </c>
      <c r="J18" s="12" t="s">
        <v>25</v>
      </c>
      <c r="L18" s="4">
        <f t="shared" si="6"/>
        <v>15000</v>
      </c>
      <c r="M18" s="4">
        <f t="shared" si="7"/>
        <v>15450</v>
      </c>
      <c r="N18" s="4">
        <f t="shared" si="7"/>
        <v>15913.5</v>
      </c>
      <c r="O18" s="4">
        <f t="shared" si="7"/>
        <v>16390.904999999999</v>
      </c>
      <c r="P18" s="4">
        <f t="shared" si="7"/>
        <v>16882.632149999998</v>
      </c>
      <c r="Q18" s="4">
        <f t="shared" si="7"/>
        <v>17389.1111145</v>
      </c>
      <c r="R18" s="4">
        <f t="shared" si="7"/>
        <v>17910.784447934999</v>
      </c>
      <c r="S18" s="4">
        <f t="shared" si="7"/>
        <v>18448.10798137305</v>
      </c>
      <c r="T18" s="4">
        <f t="shared" si="7"/>
        <v>19001.551220814243</v>
      </c>
      <c r="U18" s="4">
        <f t="shared" si="7"/>
        <v>19571.597757438671</v>
      </c>
      <c r="V18" s="4">
        <f t="shared" si="7"/>
        <v>20158.745690161832</v>
      </c>
    </row>
    <row r="19" spans="3:22" x14ac:dyDescent="0.2">
      <c r="D19" s="3" t="s">
        <v>26</v>
      </c>
      <c r="G19" s="116">
        <f>L27/G14</f>
        <v>4.8121965269230772E-2</v>
      </c>
      <c r="J19" s="12" t="s">
        <v>27</v>
      </c>
      <c r="L19" s="4">
        <f>G30*G9</f>
        <v>14000</v>
      </c>
      <c r="M19" s="4">
        <f t="shared" si="7"/>
        <v>14420</v>
      </c>
      <c r="N19" s="4">
        <f t="shared" si="7"/>
        <v>14852.6</v>
      </c>
      <c r="O19" s="4">
        <f t="shared" si="7"/>
        <v>15298.178</v>
      </c>
      <c r="P19" s="4">
        <f t="shared" si="7"/>
        <v>15757.12334</v>
      </c>
      <c r="Q19" s="4">
        <f t="shared" si="7"/>
        <v>16229.8370402</v>
      </c>
      <c r="R19" s="4">
        <f t="shared" si="7"/>
        <v>16716.732151406002</v>
      </c>
      <c r="S19" s="4">
        <f t="shared" si="7"/>
        <v>17218.234115948184</v>
      </c>
      <c r="T19" s="4">
        <f t="shared" si="7"/>
        <v>17734.781139426628</v>
      </c>
      <c r="U19" s="4">
        <f t="shared" si="7"/>
        <v>18266.824573609429</v>
      </c>
      <c r="V19" s="4">
        <f t="shared" si="7"/>
        <v>18814.829310817713</v>
      </c>
    </row>
    <row r="20" spans="3:22" x14ac:dyDescent="0.2">
      <c r="J20" s="12" t="s">
        <v>28</v>
      </c>
      <c r="L20" s="4">
        <f t="shared" si="6"/>
        <v>10000</v>
      </c>
      <c r="M20" s="4">
        <f t="shared" si="7"/>
        <v>10300</v>
      </c>
      <c r="N20" s="4">
        <f t="shared" si="7"/>
        <v>10609</v>
      </c>
      <c r="O20" s="4">
        <f t="shared" si="7"/>
        <v>10927.27</v>
      </c>
      <c r="P20" s="4">
        <f t="shared" si="7"/>
        <v>11255.088100000001</v>
      </c>
      <c r="Q20" s="4">
        <f t="shared" si="7"/>
        <v>11592.740743</v>
      </c>
      <c r="R20" s="4">
        <f t="shared" si="7"/>
        <v>11940.52296529</v>
      </c>
      <c r="S20" s="4">
        <f t="shared" si="7"/>
        <v>12298.7386542487</v>
      </c>
      <c r="T20" s="4">
        <f t="shared" si="7"/>
        <v>12667.700813876161</v>
      </c>
      <c r="U20" s="4">
        <f t="shared" si="7"/>
        <v>13047.731838292446</v>
      </c>
      <c r="V20" s="4">
        <f t="shared" si="7"/>
        <v>13439.163793441219</v>
      </c>
    </row>
    <row r="21" spans="3:22" x14ac:dyDescent="0.2">
      <c r="C21" s="8" t="s">
        <v>29</v>
      </c>
      <c r="J21" s="12" t="s">
        <v>30</v>
      </c>
      <c r="L21" s="4">
        <f t="shared" si="6"/>
        <v>20000</v>
      </c>
      <c r="M21" s="4">
        <f t="shared" si="7"/>
        <v>20600</v>
      </c>
      <c r="N21" s="4">
        <f t="shared" si="7"/>
        <v>21218</v>
      </c>
      <c r="O21" s="4">
        <f t="shared" si="7"/>
        <v>21854.54</v>
      </c>
      <c r="P21" s="4">
        <f t="shared" si="7"/>
        <v>22510.176200000002</v>
      </c>
      <c r="Q21" s="4">
        <f t="shared" si="7"/>
        <v>23185.481486000001</v>
      </c>
      <c r="R21" s="4">
        <f t="shared" si="7"/>
        <v>23881.04593058</v>
      </c>
      <c r="S21" s="4">
        <f t="shared" si="7"/>
        <v>24597.4773084974</v>
      </c>
      <c r="T21" s="4">
        <f t="shared" si="7"/>
        <v>25335.401627752322</v>
      </c>
      <c r="U21" s="4">
        <f t="shared" si="7"/>
        <v>26095.463676584892</v>
      </c>
      <c r="V21" s="4">
        <f t="shared" si="7"/>
        <v>26878.327586882438</v>
      </c>
    </row>
    <row r="22" spans="3:22" x14ac:dyDescent="0.2">
      <c r="D22" s="3" t="s">
        <v>12</v>
      </c>
      <c r="G22" s="20">
        <v>0.02</v>
      </c>
      <c r="J22" s="12" t="s">
        <v>31</v>
      </c>
      <c r="L22" s="4">
        <f>L13*$G$33</f>
        <v>15032.250749999999</v>
      </c>
      <c r="M22" s="4">
        <f t="shared" ref="M22:V22" si="8">M13*$G$33</f>
        <v>15110.763794999999</v>
      </c>
      <c r="N22" s="4">
        <f t="shared" si="8"/>
        <v>16980.0965458875</v>
      </c>
      <c r="O22" s="4">
        <f t="shared" si="8"/>
        <v>18967.928560442997</v>
      </c>
      <c r="P22" s="4">
        <f t="shared" si="8"/>
        <v>20052.418678222904</v>
      </c>
      <c r="Q22" s="4">
        <f t="shared" si="8"/>
        <v>21805.719979314003</v>
      </c>
      <c r="R22" s="4">
        <f t="shared" si="8"/>
        <v>23010.402204471397</v>
      </c>
      <c r="S22" s="4">
        <f t="shared" si="8"/>
        <v>23824.5070610646</v>
      </c>
      <c r="T22" s="4">
        <f t="shared" si="8"/>
        <v>24668.164701140162</v>
      </c>
      <c r="U22" s="4">
        <f t="shared" si="8"/>
        <v>25542.466026306523</v>
      </c>
      <c r="V22" s="4">
        <f t="shared" si="8"/>
        <v>26448.542665688794</v>
      </c>
    </row>
    <row r="23" spans="3:22" x14ac:dyDescent="0.2">
      <c r="D23" s="3" t="s">
        <v>32</v>
      </c>
      <c r="G23" s="157">
        <v>2500</v>
      </c>
      <c r="J23" s="12" t="s">
        <v>33</v>
      </c>
      <c r="L23" s="4">
        <f t="shared" si="6"/>
        <v>25000</v>
      </c>
      <c r="M23" s="4">
        <f>L23*(1+$G$37)</f>
        <v>25937.500000000004</v>
      </c>
      <c r="N23" s="4">
        <f t="shared" ref="N23:V23" si="9">M23*(1+$G$37)</f>
        <v>26910.156250000007</v>
      </c>
      <c r="O23" s="4">
        <f t="shared" si="9"/>
        <v>27919.287109375011</v>
      </c>
      <c r="P23" s="4">
        <f t="shared" si="9"/>
        <v>28966.260375976577</v>
      </c>
      <c r="Q23" s="4">
        <f t="shared" si="9"/>
        <v>30052.495140075702</v>
      </c>
      <c r="R23" s="4">
        <f t="shared" si="9"/>
        <v>31179.463707828545</v>
      </c>
      <c r="S23" s="4">
        <f t="shared" si="9"/>
        <v>32348.693596872119</v>
      </c>
      <c r="T23" s="4">
        <f t="shared" si="9"/>
        <v>33561.769606754824</v>
      </c>
      <c r="U23" s="4">
        <f t="shared" si="9"/>
        <v>34820.335967008134</v>
      </c>
      <c r="V23" s="4">
        <f t="shared" si="9"/>
        <v>36126.098565770939</v>
      </c>
    </row>
    <row r="24" spans="3:22" x14ac:dyDescent="0.2">
      <c r="D24" s="3" t="s">
        <v>34</v>
      </c>
      <c r="G24" s="20">
        <v>0.02</v>
      </c>
      <c r="J24" s="16" t="s">
        <v>35</v>
      </c>
      <c r="K24" s="17"/>
      <c r="L24" s="4">
        <f t="shared" si="6"/>
        <v>250</v>
      </c>
      <c r="M24" s="4">
        <f>L24*(1+$G$36)</f>
        <v>257.5</v>
      </c>
      <c r="N24" s="4">
        <f t="shared" ref="N24:V24" si="10">M24*(1+$G$36)</f>
        <v>265.22500000000002</v>
      </c>
      <c r="O24" s="4">
        <f t="shared" si="10"/>
        <v>273.18175000000002</v>
      </c>
      <c r="P24" s="4">
        <f t="shared" si="10"/>
        <v>281.37720250000001</v>
      </c>
      <c r="Q24" s="4">
        <f t="shared" si="10"/>
        <v>289.81851857500004</v>
      </c>
      <c r="R24" s="4">
        <f t="shared" si="10"/>
        <v>298.51307413225004</v>
      </c>
      <c r="S24" s="4">
        <f t="shared" si="10"/>
        <v>307.46846635621756</v>
      </c>
      <c r="T24" s="4">
        <f t="shared" si="10"/>
        <v>316.69252034690408</v>
      </c>
      <c r="U24" s="4">
        <f t="shared" si="10"/>
        <v>326.19329595731119</v>
      </c>
      <c r="V24" s="4">
        <f t="shared" si="10"/>
        <v>335.97909483603053</v>
      </c>
    </row>
    <row r="25" spans="3:22" x14ac:dyDescent="0.2">
      <c r="G25" s="20"/>
      <c r="J25" s="8" t="s">
        <v>36</v>
      </c>
      <c r="K25" s="19"/>
      <c r="L25" s="83">
        <f>SUM(L16:L24)</f>
        <v>188282.25075000001</v>
      </c>
      <c r="M25" s="83">
        <f t="shared" ref="M25:V25" si="11">SUM(M16:M24)</f>
        <v>193745.76379500001</v>
      </c>
      <c r="N25" s="83">
        <f t="shared" si="11"/>
        <v>201168.67779588752</v>
      </c>
      <c r="O25" s="83">
        <f t="shared" si="11"/>
        <v>208883.993419818</v>
      </c>
      <c r="P25" s="83">
        <f t="shared" si="11"/>
        <v>215875.36013669946</v>
      </c>
      <c r="Q25" s="83">
        <f t="shared" si="11"/>
        <v>223720.59663436472</v>
      </c>
      <c r="R25" s="83">
        <f t="shared" si="11"/>
        <v>231208.11887272424</v>
      </c>
      <c r="S25" s="83">
        <f t="shared" si="11"/>
        <v>238502.00120717371</v>
      </c>
      <c r="T25" s="83">
        <f t="shared" si="11"/>
        <v>246028.59887360909</v>
      </c>
      <c r="U25" s="83">
        <f t="shared" si="11"/>
        <v>253795.4264960002</v>
      </c>
      <c r="V25" s="83">
        <f t="shared" si="11"/>
        <v>261810.24446922578</v>
      </c>
    </row>
    <row r="26" spans="3:22" x14ac:dyDescent="0.2">
      <c r="C26" s="8" t="s">
        <v>37</v>
      </c>
    </row>
    <row r="27" spans="3:22" x14ac:dyDescent="0.2">
      <c r="D27" s="3" t="s">
        <v>38</v>
      </c>
      <c r="G27" s="157">
        <v>55000</v>
      </c>
      <c r="J27" s="8" t="s">
        <v>39</v>
      </c>
      <c r="L27" s="19">
        <f>L13-L25</f>
        <v>312792.77425000002</v>
      </c>
      <c r="M27" s="19">
        <f t="shared" ref="M27:V27" si="12">M13-M25</f>
        <v>309946.36270499998</v>
      </c>
      <c r="N27" s="19">
        <f t="shared" si="12"/>
        <v>364834.54040036252</v>
      </c>
      <c r="O27" s="19">
        <f t="shared" si="12"/>
        <v>423380.29192828189</v>
      </c>
      <c r="P27" s="19">
        <f t="shared" si="12"/>
        <v>452538.59580406401</v>
      </c>
      <c r="Q27" s="19">
        <f t="shared" si="12"/>
        <v>503136.73600943538</v>
      </c>
      <c r="R27" s="19">
        <f t="shared" si="12"/>
        <v>535805.28794298903</v>
      </c>
      <c r="S27" s="19">
        <f t="shared" si="12"/>
        <v>555648.23416164634</v>
      </c>
      <c r="T27" s="19">
        <f t="shared" si="12"/>
        <v>576243.55783106305</v>
      </c>
      <c r="U27" s="19">
        <f t="shared" si="12"/>
        <v>597620.10771421716</v>
      </c>
      <c r="V27" s="19">
        <f t="shared" si="12"/>
        <v>619807.84438706737</v>
      </c>
    </row>
    <row r="28" spans="3:22" x14ac:dyDescent="0.2">
      <c r="D28" s="3" t="s">
        <v>40</v>
      </c>
      <c r="G28" s="157">
        <v>34000</v>
      </c>
    </row>
    <row r="29" spans="3:22" x14ac:dyDescent="0.2">
      <c r="D29" s="3" t="s">
        <v>41</v>
      </c>
      <c r="G29" s="157">
        <v>15000</v>
      </c>
      <c r="J29" s="8" t="s">
        <v>42</v>
      </c>
    </row>
    <row r="30" spans="3:22" x14ac:dyDescent="0.2">
      <c r="D30" s="3" t="s">
        <v>43</v>
      </c>
      <c r="G30" s="157">
        <v>500</v>
      </c>
      <c r="J30" s="12" t="s">
        <v>44</v>
      </c>
      <c r="L30" s="4">
        <f>IF(L6&lt;=$G$40,$G$41/$G$40,0)</f>
        <v>111250</v>
      </c>
      <c r="M30" s="4">
        <f t="shared" ref="M30:V30" si="13">IF(M6&lt;=$G$40,$G$41/$G$40,0)</f>
        <v>111250</v>
      </c>
      <c r="N30" s="4">
        <f t="shared" si="13"/>
        <v>111250</v>
      </c>
      <c r="O30" s="4">
        <f t="shared" si="13"/>
        <v>111250</v>
      </c>
      <c r="P30" s="4">
        <f t="shared" si="13"/>
        <v>0</v>
      </c>
      <c r="Q30" s="4">
        <f t="shared" si="13"/>
        <v>0</v>
      </c>
      <c r="R30" s="4">
        <f t="shared" si="13"/>
        <v>0</v>
      </c>
      <c r="S30" s="4">
        <f t="shared" si="13"/>
        <v>0</v>
      </c>
      <c r="T30" s="4">
        <f t="shared" si="13"/>
        <v>0</v>
      </c>
      <c r="U30" s="4">
        <f t="shared" si="13"/>
        <v>0</v>
      </c>
      <c r="V30" s="4">
        <f t="shared" si="13"/>
        <v>0</v>
      </c>
    </row>
    <row r="31" spans="3:22" x14ac:dyDescent="0.2">
      <c r="D31" s="3" t="s">
        <v>45</v>
      </c>
      <c r="G31" s="157">
        <v>10000</v>
      </c>
      <c r="J31" s="12" t="s">
        <v>46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</row>
    <row r="32" spans="3:22" x14ac:dyDescent="0.2">
      <c r="D32" s="3" t="s">
        <v>47</v>
      </c>
      <c r="G32" s="157">
        <v>20000</v>
      </c>
      <c r="J32" s="16" t="s">
        <v>48</v>
      </c>
      <c r="K32" s="17"/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</row>
    <row r="33" spans="3:22" x14ac:dyDescent="0.2">
      <c r="D33" s="3" t="s">
        <v>31</v>
      </c>
      <c r="G33" s="20">
        <v>0.03</v>
      </c>
      <c r="J33" s="8" t="s">
        <v>49</v>
      </c>
      <c r="K33" s="19"/>
      <c r="L33" s="19">
        <f>SUM(L30:L32)</f>
        <v>111250</v>
      </c>
      <c r="M33" s="19">
        <f t="shared" ref="M33:U33" si="14">SUM(M30:M32)</f>
        <v>111250</v>
      </c>
      <c r="N33" s="19">
        <f t="shared" si="14"/>
        <v>111250</v>
      </c>
      <c r="O33" s="19">
        <f t="shared" si="14"/>
        <v>111250</v>
      </c>
      <c r="P33" s="19">
        <f t="shared" si="14"/>
        <v>0</v>
      </c>
      <c r="Q33" s="19">
        <f t="shared" si="14"/>
        <v>0</v>
      </c>
      <c r="R33" s="19">
        <f t="shared" si="14"/>
        <v>0</v>
      </c>
      <c r="S33" s="19">
        <f t="shared" si="14"/>
        <v>0</v>
      </c>
      <c r="T33" s="19">
        <f t="shared" si="14"/>
        <v>0</v>
      </c>
      <c r="U33" s="19">
        <f t="shared" si="14"/>
        <v>0</v>
      </c>
      <c r="V33" s="19"/>
    </row>
    <row r="34" spans="3:22" x14ac:dyDescent="0.2">
      <c r="D34" s="3" t="s">
        <v>50</v>
      </c>
      <c r="G34" s="157">
        <v>25000</v>
      </c>
      <c r="V34" s="19"/>
    </row>
    <row r="35" spans="3:22" x14ac:dyDescent="0.2">
      <c r="D35" s="3" t="s">
        <v>51</v>
      </c>
      <c r="G35" s="157">
        <v>250</v>
      </c>
      <c r="J35" s="8" t="s">
        <v>52</v>
      </c>
      <c r="L35" s="4">
        <f>L27-L33</f>
        <v>201542.77425000002</v>
      </c>
      <c r="M35" s="4">
        <f t="shared" ref="M35:U35" si="15">M27-M33</f>
        <v>198696.36270499998</v>
      </c>
      <c r="N35" s="4">
        <f t="shared" si="15"/>
        <v>253584.54040036252</v>
      </c>
      <c r="O35" s="4">
        <f t="shared" si="15"/>
        <v>312130.29192828189</v>
      </c>
      <c r="P35" s="4">
        <f t="shared" si="15"/>
        <v>452538.59580406401</v>
      </c>
      <c r="Q35" s="4">
        <f t="shared" si="15"/>
        <v>503136.73600943538</v>
      </c>
      <c r="R35" s="4">
        <f t="shared" si="15"/>
        <v>535805.28794298903</v>
      </c>
      <c r="S35" s="4">
        <f t="shared" si="15"/>
        <v>555648.23416164634</v>
      </c>
      <c r="T35" s="4">
        <f t="shared" si="15"/>
        <v>576243.55783106305</v>
      </c>
      <c r="U35" s="4">
        <f t="shared" si="15"/>
        <v>597620.10771421716</v>
      </c>
    </row>
    <row r="36" spans="3:22" x14ac:dyDescent="0.2">
      <c r="D36" s="3" t="s">
        <v>53</v>
      </c>
      <c r="G36" s="20">
        <v>0.03</v>
      </c>
    </row>
    <row r="37" spans="3:22" x14ac:dyDescent="0.2">
      <c r="D37" s="3" t="s">
        <v>54</v>
      </c>
      <c r="G37" s="20">
        <v>3.7499999999999999E-2</v>
      </c>
      <c r="J37" s="8" t="s">
        <v>55</v>
      </c>
      <c r="L37" s="162">
        <f>'Debt Amortization Schedule'!B8</f>
        <v>208900.76889457542</v>
      </c>
      <c r="M37" s="162">
        <f>L37</f>
        <v>208900.76889457542</v>
      </c>
      <c r="N37" s="162">
        <f t="shared" ref="N37:U37" si="16">M37</f>
        <v>208900.76889457542</v>
      </c>
      <c r="O37" s="162">
        <f t="shared" si="16"/>
        <v>208900.76889457542</v>
      </c>
      <c r="P37" s="162">
        <f t="shared" si="16"/>
        <v>208900.76889457542</v>
      </c>
      <c r="Q37" s="162">
        <f t="shared" si="16"/>
        <v>208900.76889457542</v>
      </c>
      <c r="R37" s="162">
        <f t="shared" si="16"/>
        <v>208900.76889457542</v>
      </c>
      <c r="S37" s="162">
        <f t="shared" si="16"/>
        <v>208900.76889457542</v>
      </c>
      <c r="T37" s="162">
        <f t="shared" si="16"/>
        <v>208900.76889457542</v>
      </c>
      <c r="U37" s="162">
        <f t="shared" si="16"/>
        <v>208900.76889457542</v>
      </c>
    </row>
    <row r="38" spans="3:22" x14ac:dyDescent="0.2">
      <c r="J38" s="12" t="s">
        <v>56</v>
      </c>
      <c r="L38" s="162">
        <f>L37</f>
        <v>208900.76889457542</v>
      </c>
      <c r="M38" s="162">
        <f t="shared" ref="M38:T38" si="17">M37</f>
        <v>208900.76889457542</v>
      </c>
      <c r="N38" s="162">
        <f t="shared" si="17"/>
        <v>208900.76889457542</v>
      </c>
      <c r="O38" s="162">
        <f t="shared" si="17"/>
        <v>208900.76889457542</v>
      </c>
      <c r="P38" s="162">
        <f t="shared" si="17"/>
        <v>208900.76889457542</v>
      </c>
      <c r="Q38" s="162">
        <f t="shared" si="17"/>
        <v>208900.76889457542</v>
      </c>
      <c r="R38" s="162">
        <f t="shared" si="17"/>
        <v>208900.76889457542</v>
      </c>
      <c r="S38" s="162">
        <f t="shared" si="17"/>
        <v>208900.76889457542</v>
      </c>
      <c r="T38" s="162">
        <f t="shared" si="17"/>
        <v>208900.76889457542</v>
      </c>
      <c r="U38" s="162">
        <f>U37*10</f>
        <v>2089007.6889457542</v>
      </c>
    </row>
    <row r="39" spans="3:22" x14ac:dyDescent="0.2">
      <c r="C39" s="8" t="s">
        <v>57</v>
      </c>
    </row>
    <row r="40" spans="3:22" x14ac:dyDescent="0.2">
      <c r="C40" s="8"/>
      <c r="D40" s="3" t="s">
        <v>44</v>
      </c>
      <c r="G40" s="15">
        <v>4</v>
      </c>
      <c r="J40" s="8" t="s">
        <v>58</v>
      </c>
      <c r="L40" s="4">
        <f>L35-L37</f>
        <v>-7357.9946445754031</v>
      </c>
      <c r="M40" s="4">
        <f t="shared" ref="M40:U40" si="18">M35-M37</f>
        <v>-10204.406189575442</v>
      </c>
      <c r="N40" s="4">
        <f t="shared" si="18"/>
        <v>44683.771505787096</v>
      </c>
      <c r="O40" s="4">
        <f t="shared" si="18"/>
        <v>103229.52303370647</v>
      </c>
      <c r="P40" s="4">
        <f t="shared" si="18"/>
        <v>243637.82690948859</v>
      </c>
      <c r="Q40" s="4">
        <f t="shared" si="18"/>
        <v>294235.96711485996</v>
      </c>
      <c r="R40" s="4">
        <f t="shared" si="18"/>
        <v>326904.51904841361</v>
      </c>
      <c r="S40" s="4">
        <f t="shared" si="18"/>
        <v>346747.46526707092</v>
      </c>
      <c r="T40" s="4">
        <f t="shared" si="18"/>
        <v>367342.78893648763</v>
      </c>
      <c r="U40" s="4">
        <f t="shared" si="18"/>
        <v>388719.33881964174</v>
      </c>
    </row>
    <row r="41" spans="3:22" x14ac:dyDescent="0.2">
      <c r="C41" s="8"/>
      <c r="D41" s="3" t="s">
        <v>59</v>
      </c>
      <c r="G41" s="157">
        <v>445000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</row>
    <row r="42" spans="3:22" x14ac:dyDescent="0.2">
      <c r="C42" s="8"/>
      <c r="D42" s="12" t="s">
        <v>46</v>
      </c>
      <c r="E42" s="8"/>
      <c r="G42" s="22"/>
      <c r="J42" s="8" t="s">
        <v>60</v>
      </c>
    </row>
    <row r="43" spans="3:22" x14ac:dyDescent="0.2">
      <c r="C43" s="8"/>
      <c r="D43" s="3" t="s">
        <v>61</v>
      </c>
      <c r="G43" s="10"/>
      <c r="J43" s="23" t="s">
        <v>62</v>
      </c>
      <c r="K43" s="4">
        <f>-SUM('Sources &amp; Uses'!J15:J16)</f>
        <v>-6597500</v>
      </c>
    </row>
    <row r="44" spans="3:22" x14ac:dyDescent="0.2">
      <c r="D44" s="3" t="s">
        <v>63</v>
      </c>
      <c r="E44" s="8"/>
      <c r="G44" s="22"/>
      <c r="J44" s="23" t="s">
        <v>64</v>
      </c>
      <c r="K44" s="4">
        <v>0</v>
      </c>
      <c r="L44" s="4">
        <f>L35</f>
        <v>201542.77425000002</v>
      </c>
      <c r="M44" s="4">
        <f t="shared" ref="M44:U44" si="19">M35</f>
        <v>198696.36270499998</v>
      </c>
      <c r="N44" s="4">
        <f t="shared" si="19"/>
        <v>253584.54040036252</v>
      </c>
      <c r="O44" s="4">
        <f t="shared" si="19"/>
        <v>312130.29192828189</v>
      </c>
      <c r="P44" s="4">
        <f t="shared" si="19"/>
        <v>452538.59580406401</v>
      </c>
      <c r="Q44" s="4">
        <f t="shared" si="19"/>
        <v>503136.73600943538</v>
      </c>
      <c r="R44" s="4">
        <f t="shared" si="19"/>
        <v>535805.28794298903</v>
      </c>
      <c r="S44" s="4">
        <f t="shared" si="19"/>
        <v>555648.23416164634</v>
      </c>
      <c r="T44" s="4">
        <f t="shared" si="19"/>
        <v>576243.55783106305</v>
      </c>
      <c r="U44" s="4">
        <f t="shared" si="19"/>
        <v>597620.10771421716</v>
      </c>
    </row>
    <row r="45" spans="3:22" x14ac:dyDescent="0.2">
      <c r="D45" s="3" t="s">
        <v>65</v>
      </c>
      <c r="G45" s="10"/>
      <c r="J45" s="23" t="s">
        <v>66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f>IF(U$6=$G$12,$G$58,0)</f>
        <v>12396156.887741346</v>
      </c>
    </row>
    <row r="46" spans="3:22" x14ac:dyDescent="0.2">
      <c r="G46" s="20"/>
      <c r="J46" s="26" t="s">
        <v>67</v>
      </c>
      <c r="K46" s="17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f>-U45*G59</f>
        <v>-247923.13775482692</v>
      </c>
    </row>
    <row r="47" spans="3:22" x14ac:dyDescent="0.2">
      <c r="C47" s="8" t="s">
        <v>68</v>
      </c>
      <c r="J47" s="8" t="s">
        <v>69</v>
      </c>
      <c r="K47" s="4">
        <f>SUM(K43:K46)</f>
        <v>-6597500</v>
      </c>
      <c r="L47" s="59">
        <f>SUM(L44:L46)</f>
        <v>201542.77425000002</v>
      </c>
      <c r="M47" s="59">
        <f t="shared" ref="M47:U47" si="20">SUM(M44:M46)</f>
        <v>198696.36270499998</v>
      </c>
      <c r="N47" s="59">
        <f t="shared" si="20"/>
        <v>253584.54040036252</v>
      </c>
      <c r="O47" s="59">
        <f t="shared" si="20"/>
        <v>312130.29192828189</v>
      </c>
      <c r="P47" s="59">
        <f t="shared" si="20"/>
        <v>452538.59580406401</v>
      </c>
      <c r="Q47" s="59">
        <f t="shared" si="20"/>
        <v>503136.73600943538</v>
      </c>
      <c r="R47" s="59">
        <f t="shared" si="20"/>
        <v>535805.28794298903</v>
      </c>
      <c r="S47" s="59">
        <f t="shared" si="20"/>
        <v>555648.23416164634</v>
      </c>
      <c r="T47" s="59">
        <f t="shared" si="20"/>
        <v>576243.55783106305</v>
      </c>
      <c r="U47" s="59">
        <f t="shared" si="20"/>
        <v>12745853.857700735</v>
      </c>
    </row>
    <row r="48" spans="3:22" x14ac:dyDescent="0.2">
      <c r="D48" s="3" t="s">
        <v>70</v>
      </c>
      <c r="G48" s="24">
        <f>'Debt Sizing'!D16</f>
        <v>3127927.7425000002</v>
      </c>
      <c r="J48" s="27" t="s">
        <v>71</v>
      </c>
      <c r="K48" s="28"/>
      <c r="L48" s="29">
        <f>+L44/-SUMIF($K$47:L47,"&lt;0")</f>
        <v>3.0548355323986361E-2</v>
      </c>
      <c r="M48" s="29">
        <f>+M44/-SUMIF($K$47:M47,"&lt;0")</f>
        <v>3.011691742402425E-2</v>
      </c>
      <c r="N48" s="29">
        <f>+N44/-SUMIF($K$47:N47,"&lt;0")</f>
        <v>3.8436459325557032E-2</v>
      </c>
      <c r="O48" s="29">
        <f>+O44/-SUMIF($K$47:O47,"&lt;0")</f>
        <v>4.7310389075904798E-2</v>
      </c>
      <c r="P48" s="29">
        <f>+P44/-SUMIF($K$47:P47,"&lt;0")</f>
        <v>6.8592435892999473E-2</v>
      </c>
      <c r="Q48" s="29">
        <f>+Q44/-SUMIF($K$47:Q47,"&lt;0")</f>
        <v>7.6261725806659394E-2</v>
      </c>
      <c r="R48" s="29">
        <f>+R44/-SUMIF($K$47:R47,"&lt;0")</f>
        <v>8.1213382030009704E-2</v>
      </c>
      <c r="S48" s="29">
        <f>+S44/-SUMIF($K$47:S47,"&lt;0")</f>
        <v>8.4221028292784592E-2</v>
      </c>
      <c r="T48" s="29">
        <f>+T44/-SUMIF($K$47:T47,"&lt;0")</f>
        <v>8.7342714335894356E-2</v>
      </c>
      <c r="U48" s="29">
        <f>+U44/-SUMIF($K$47:U47,"&lt;0")</f>
        <v>9.0582812840351218E-2</v>
      </c>
    </row>
    <row r="49" spans="3:21" ht="16" thickBot="1" x14ac:dyDescent="0.25">
      <c r="D49" s="3" t="s">
        <v>72</v>
      </c>
      <c r="G49" s="25">
        <f>+G12</f>
        <v>10</v>
      </c>
      <c r="L49" s="123"/>
      <c r="M49" s="123"/>
      <c r="N49" s="123"/>
      <c r="O49" s="123"/>
      <c r="P49" s="123"/>
      <c r="Q49" s="123"/>
      <c r="R49" s="123"/>
      <c r="S49" s="123"/>
      <c r="T49" s="123"/>
      <c r="U49" s="123"/>
    </row>
    <row r="50" spans="3:21" x14ac:dyDescent="0.2">
      <c r="D50" s="3" t="s">
        <v>73</v>
      </c>
      <c r="G50" s="15">
        <v>30</v>
      </c>
      <c r="J50" s="30" t="s">
        <v>74</v>
      </c>
      <c r="K50" s="31">
        <f>XIRR(K47:U47,K7:U7)</f>
        <v>0.10770482420921326</v>
      </c>
    </row>
    <row r="51" spans="3:21" x14ac:dyDescent="0.2">
      <c r="D51" s="3" t="s">
        <v>75</v>
      </c>
      <c r="G51" s="20">
        <v>5.3199999999999997E-2</v>
      </c>
      <c r="J51" s="32" t="s">
        <v>76</v>
      </c>
      <c r="K51" s="33">
        <f>+SUMIF(K47:U47,"&gt;0")/-SUMIF(K47:U47,"&lt;0")</f>
        <v>2.475965174495427</v>
      </c>
    </row>
    <row r="52" spans="3:21" ht="16" thickBot="1" x14ac:dyDescent="0.25">
      <c r="D52" s="3" t="s">
        <v>77</v>
      </c>
      <c r="G52" s="148">
        <v>12</v>
      </c>
      <c r="J52" s="34" t="s">
        <v>78</v>
      </c>
      <c r="K52" s="35">
        <f>+SUM(K47:U47)</f>
        <v>9737680.2387335766</v>
      </c>
    </row>
    <row r="53" spans="3:21" x14ac:dyDescent="0.2">
      <c r="D53" s="3" t="s">
        <v>79</v>
      </c>
      <c r="G53" s="150"/>
    </row>
    <row r="54" spans="3:21" x14ac:dyDescent="0.2">
      <c r="J54" s="8" t="s">
        <v>80</v>
      </c>
    </row>
    <row r="55" spans="3:21" x14ac:dyDescent="0.2">
      <c r="C55" s="8" t="s">
        <v>81</v>
      </c>
      <c r="J55" s="23" t="s">
        <v>82</v>
      </c>
      <c r="K55" s="155">
        <f>-'Sources &amp; Uses'!D12</f>
        <v>-3508671.3542812499</v>
      </c>
    </row>
    <row r="56" spans="3:21" x14ac:dyDescent="0.2">
      <c r="D56" s="3" t="s">
        <v>83</v>
      </c>
      <c r="G56" s="20">
        <v>0.05</v>
      </c>
      <c r="J56" s="23" t="s">
        <v>84</v>
      </c>
      <c r="L56" s="4">
        <f>L40</f>
        <v>-7357.9946445754031</v>
      </c>
      <c r="M56" s="4">
        <f t="shared" ref="M56:U56" si="21">M40</f>
        <v>-10204.406189575442</v>
      </c>
      <c r="N56" s="4">
        <f t="shared" si="21"/>
        <v>44683.771505787096</v>
      </c>
      <c r="O56" s="4">
        <f t="shared" si="21"/>
        <v>103229.52303370647</v>
      </c>
      <c r="P56" s="4">
        <f t="shared" si="21"/>
        <v>243637.82690948859</v>
      </c>
      <c r="Q56" s="4">
        <f t="shared" si="21"/>
        <v>294235.96711485996</v>
      </c>
      <c r="R56" s="4">
        <f t="shared" si="21"/>
        <v>326904.51904841361</v>
      </c>
      <c r="S56" s="4">
        <f t="shared" si="21"/>
        <v>346747.46526707092</v>
      </c>
      <c r="T56" s="4">
        <f t="shared" si="21"/>
        <v>367342.78893648763</v>
      </c>
      <c r="U56" s="4">
        <f t="shared" si="21"/>
        <v>388719.33881964174</v>
      </c>
    </row>
    <row r="57" spans="3:21" x14ac:dyDescent="0.2">
      <c r="D57" s="3" t="s">
        <v>85</v>
      </c>
      <c r="G57" s="3">
        <f>V27</f>
        <v>619807.84438706737</v>
      </c>
      <c r="J57" s="23" t="s">
        <v>66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f>G58</f>
        <v>12396156.887741346</v>
      </c>
    </row>
    <row r="58" spans="3:21" x14ac:dyDescent="0.2">
      <c r="D58" s="3" t="s">
        <v>86</v>
      </c>
      <c r="G58" s="3">
        <f>G57/G56</f>
        <v>12396156.887741346</v>
      </c>
      <c r="J58" s="23" t="s">
        <v>67</v>
      </c>
      <c r="K58" s="3"/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f>-U57*G59</f>
        <v>-247923.13775482692</v>
      </c>
    </row>
    <row r="59" spans="3:21" x14ac:dyDescent="0.2">
      <c r="D59" s="3" t="s">
        <v>67</v>
      </c>
      <c r="G59" s="20">
        <v>0.02</v>
      </c>
      <c r="J59" s="26" t="s">
        <v>87</v>
      </c>
      <c r="K59" s="17"/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f>-'Debt Amortization Schedule'!F133</f>
        <v>-2568516.7152380911</v>
      </c>
    </row>
    <row r="60" spans="3:21" x14ac:dyDescent="0.2">
      <c r="D60" s="3" t="s">
        <v>88</v>
      </c>
      <c r="G60" s="150"/>
      <c r="J60" s="8" t="s">
        <v>89</v>
      </c>
      <c r="K60" s="19">
        <f>SUM(K55:K59)</f>
        <v>-3508671.3542812499</v>
      </c>
      <c r="L60" s="19">
        <f t="shared" ref="L60:U60" si="22">SUM(L55:L59)</f>
        <v>-7357.9946445754031</v>
      </c>
      <c r="M60" s="19">
        <f t="shared" si="22"/>
        <v>-10204.406189575442</v>
      </c>
      <c r="N60" s="19">
        <f t="shared" si="22"/>
        <v>44683.771505787096</v>
      </c>
      <c r="O60" s="19">
        <f t="shared" si="22"/>
        <v>103229.52303370647</v>
      </c>
      <c r="P60" s="19">
        <f t="shared" si="22"/>
        <v>243637.82690948859</v>
      </c>
      <c r="Q60" s="19">
        <f t="shared" si="22"/>
        <v>294235.96711485996</v>
      </c>
      <c r="R60" s="19">
        <f t="shared" si="22"/>
        <v>326904.51904841361</v>
      </c>
      <c r="S60" s="19">
        <f t="shared" si="22"/>
        <v>346747.46526707092</v>
      </c>
      <c r="T60" s="19">
        <f t="shared" si="22"/>
        <v>367342.78893648763</v>
      </c>
      <c r="U60" s="19">
        <f t="shared" si="22"/>
        <v>9968436.3735680692</v>
      </c>
    </row>
    <row r="61" spans="3:21" x14ac:dyDescent="0.2">
      <c r="J61" s="27" t="s">
        <v>71</v>
      </c>
      <c r="K61" s="28"/>
      <c r="L61" s="29">
        <f>L56/-SUMIF($K$60:L60,"&lt;0",$K$60:L60)</f>
        <v>-2.0927000074169827E-3</v>
      </c>
      <c r="M61" s="29">
        <f>M56/-SUMIF($K$60:M60,"&lt;0",$K$60:M60)</f>
        <v>-2.8938541509825372E-3</v>
      </c>
      <c r="N61" s="29">
        <f>N56/-SUMIF($K$60:N60,"&lt;0",$K$60:N60)</f>
        <v>1.2671812083066161E-2</v>
      </c>
      <c r="O61" s="29">
        <f>O56/-SUMIF($K$60:O60,"&lt;0",$K$60:O60)</f>
        <v>2.9274724877202066E-2</v>
      </c>
      <c r="P61" s="29">
        <f>P56/-SUMIF($K$60:P60,"&lt;0",$K$60:P60)</f>
        <v>6.9092931390623377E-2</v>
      </c>
      <c r="Q61" s="29">
        <f>Q56/-SUMIF($K$60:Q60,"&lt;0",$K$60:Q60)</f>
        <v>8.3441991526517711E-2</v>
      </c>
      <c r="R61" s="29">
        <f>R56/-SUMIF($K$60:R60,"&lt;0",$K$60:R60)</f>
        <v>9.2706423269354479E-2</v>
      </c>
      <c r="S61" s="29">
        <f>S56/-SUMIF($K$60:S60,"&lt;0",$K$60:S60)</f>
        <v>9.8333658329954693E-2</v>
      </c>
      <c r="T61" s="29">
        <f>T56/-SUMIF($K$60:T60,"&lt;0",$K$60:T60)</f>
        <v>0.10417425912380159</v>
      </c>
      <c r="U61" s="29">
        <f>U56/-SUMIF($K$60:U60,"&lt;0",$K$60:U60)</f>
        <v>0.1102364068337042</v>
      </c>
    </row>
    <row r="62" spans="3:21" x14ac:dyDescent="0.2">
      <c r="J62" s="27" t="s">
        <v>90</v>
      </c>
      <c r="K62" s="28"/>
      <c r="L62" s="29">
        <f t="shared" ref="L62:U62" si="23">L27/$G$48</f>
        <v>0.1</v>
      </c>
      <c r="M62" s="29">
        <f t="shared" si="23"/>
        <v>9.9090000863407079E-2</v>
      </c>
      <c r="N62" s="29">
        <f t="shared" si="23"/>
        <v>0.11663777760696226</v>
      </c>
      <c r="O62" s="29">
        <f t="shared" si="23"/>
        <v>0.13535488245962315</v>
      </c>
      <c r="P62" s="29">
        <f t="shared" si="23"/>
        <v>0.14467680619833373</v>
      </c>
      <c r="Q62" s="29">
        <f t="shared" si="23"/>
        <v>0.16085305589805687</v>
      </c>
      <c r="R62" s="29">
        <f t="shared" si="23"/>
        <v>0.17129720762499007</v>
      </c>
      <c r="S62" s="29">
        <f t="shared" si="23"/>
        <v>0.17764100705137895</v>
      </c>
      <c r="T62" s="29">
        <f t="shared" si="23"/>
        <v>0.18422534190975257</v>
      </c>
      <c r="U62" s="29">
        <f t="shared" si="23"/>
        <v>0.19105943516347618</v>
      </c>
    </row>
    <row r="63" spans="3:21" x14ac:dyDescent="0.2">
      <c r="J63" s="27" t="s">
        <v>91</v>
      </c>
      <c r="K63" s="28"/>
      <c r="L63" s="134">
        <f>L27/L38</f>
        <v>1.4973270606191742</v>
      </c>
      <c r="M63" s="134">
        <f t="shared" ref="M63:U63" si="24">M27/M38</f>
        <v>1.4837013972955675</v>
      </c>
      <c r="N63" s="134">
        <f t="shared" si="24"/>
        <v>1.7464490070138572</v>
      </c>
      <c r="O63" s="134">
        <f t="shared" si="24"/>
        <v>2.0267052829372134</v>
      </c>
      <c r="P63" s="134">
        <f t="shared" si="24"/>
        <v>2.1662849696472093</v>
      </c>
      <c r="Q63" s="134">
        <f t="shared" si="24"/>
        <v>2.408496333794492</v>
      </c>
      <c r="R63" s="134">
        <f t="shared" si="24"/>
        <v>2.5648794438539877</v>
      </c>
      <c r="S63" s="134">
        <f t="shared" si="24"/>
        <v>2.659866869336712</v>
      </c>
      <c r="T63" s="134">
        <f t="shared" si="24"/>
        <v>2.7584558969329218</v>
      </c>
      <c r="U63" s="134">
        <f t="shared" si="24"/>
        <v>0.28607846245688745</v>
      </c>
    </row>
    <row r="64" spans="3:21" ht="16" thickBot="1" x14ac:dyDescent="0.25"/>
    <row r="65" spans="10:12" x14ac:dyDescent="0.2">
      <c r="J65" s="30" t="s">
        <v>74</v>
      </c>
      <c r="K65" s="31">
        <f>XIRR(K60:U60,K7:U7)</f>
        <v>0.13577020764350889</v>
      </c>
      <c r="L65" s="123"/>
    </row>
    <row r="66" spans="10:12" x14ac:dyDescent="0.2">
      <c r="J66" s="32" t="s">
        <v>76</v>
      </c>
      <c r="K66" s="33">
        <f>SUMIF(K60:U60,"&gt;0")/-SUMIF(K60:U60,"&lt;0")</f>
        <v>3.3166315813346134</v>
      </c>
    </row>
    <row r="67" spans="10:12" ht="16" thickBot="1" x14ac:dyDescent="0.25">
      <c r="J67" s="34" t="s">
        <v>78</v>
      </c>
      <c r="K67" s="35">
        <f>SUM(K60:U60)</f>
        <v>8168984.4802684831</v>
      </c>
    </row>
    <row r="69" spans="10:12" x14ac:dyDescent="0.2">
      <c r="J69" s="149" t="s">
        <v>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1A8-0E17-443F-8442-B9641472CB2C}">
  <sheetPr>
    <tabColor theme="9" tint="0.79998168889431442"/>
  </sheetPr>
  <dimension ref="B1:U67"/>
  <sheetViews>
    <sheetView zoomScale="80" workbookViewId="0">
      <selection activeCell="J24" sqref="J24"/>
    </sheetView>
  </sheetViews>
  <sheetFormatPr baseColWidth="10" defaultColWidth="12.6640625" defaultRowHeight="15" x14ac:dyDescent="0.2"/>
  <cols>
    <col min="1" max="1" width="3.6640625" style="3" customWidth="1"/>
    <col min="2" max="2" width="13.6640625" style="3" bestFit="1" customWidth="1"/>
    <col min="3" max="3" width="13.6640625" style="4" customWidth="1"/>
    <col min="4" max="6" width="12.6640625" style="4"/>
    <col min="7" max="7" width="16" style="3" customWidth="1"/>
    <col min="8" max="8" width="4.6640625" style="3" customWidth="1"/>
    <col min="9" max="9" width="29.33203125" style="3" customWidth="1"/>
    <col min="10" max="10" width="11.1640625" style="3" customWidth="1"/>
    <col min="11" max="15" width="12.6640625" style="4"/>
    <col min="16" max="16" width="14.5" style="4" bestFit="1" customWidth="1"/>
    <col min="17" max="21" width="12.6640625" style="4"/>
    <col min="22" max="22" width="3.6640625" style="3" customWidth="1"/>
    <col min="23" max="16384" width="12.6640625" style="3"/>
  </cols>
  <sheetData>
    <row r="1" spans="2:21" ht="29" customHeight="1" x14ac:dyDescent="0.2">
      <c r="B1" s="85" t="s">
        <v>93</v>
      </c>
      <c r="C1" s="85"/>
      <c r="D1" s="85"/>
      <c r="E1" s="85"/>
      <c r="F1" s="85"/>
      <c r="G1" s="85"/>
    </row>
    <row r="2" spans="2:21" s="5" customFormat="1" ht="3" customHeight="1" x14ac:dyDescent="0.2">
      <c r="C2" s="6"/>
      <c r="D2" s="6"/>
      <c r="E2" s="6"/>
      <c r="F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2:21" ht="3" customHeight="1" x14ac:dyDescent="0.2">
      <c r="G3" s="7"/>
    </row>
    <row r="4" spans="2:21" s="5" customFormat="1" ht="3" customHeight="1" x14ac:dyDescent="0.2">
      <c r="C4" s="6"/>
      <c r="D4" s="6"/>
      <c r="E4" s="6"/>
      <c r="F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2:21" ht="15" customHeight="1" x14ac:dyDescent="0.2"/>
    <row r="6" spans="2:21" x14ac:dyDescent="0.2">
      <c r="B6" s="128" t="s">
        <v>94</v>
      </c>
      <c r="C6" s="129"/>
      <c r="D6" s="129"/>
      <c r="E6" s="129"/>
      <c r="F6" s="129"/>
      <c r="G6" s="130"/>
      <c r="I6" s="45" t="s">
        <v>95</v>
      </c>
      <c r="J6" s="46">
        <v>0</v>
      </c>
      <c r="K6" s="46">
        <v>1</v>
      </c>
      <c r="L6" s="46">
        <f>+K6+1</f>
        <v>2</v>
      </c>
      <c r="M6" s="46">
        <f t="shared" ref="M6:U6" si="0">+L6+1</f>
        <v>3</v>
      </c>
      <c r="N6" s="46">
        <f t="shared" si="0"/>
        <v>4</v>
      </c>
      <c r="O6" s="46">
        <f t="shared" si="0"/>
        <v>5</v>
      </c>
      <c r="P6" s="46">
        <f t="shared" si="0"/>
        <v>6</v>
      </c>
      <c r="Q6" s="46">
        <f t="shared" si="0"/>
        <v>7</v>
      </c>
      <c r="R6" s="46">
        <f t="shared" si="0"/>
        <v>8</v>
      </c>
      <c r="S6" s="46">
        <f t="shared" si="0"/>
        <v>9</v>
      </c>
      <c r="T6" s="46">
        <f t="shared" si="0"/>
        <v>10</v>
      </c>
      <c r="U6" s="47">
        <f t="shared" si="0"/>
        <v>11</v>
      </c>
    </row>
    <row r="7" spans="2:21" ht="16" thickBot="1" x14ac:dyDescent="0.25">
      <c r="B7" s="48" t="s">
        <v>96</v>
      </c>
      <c r="C7" s="49" t="s">
        <v>97</v>
      </c>
      <c r="D7" s="49" t="s">
        <v>98</v>
      </c>
      <c r="E7" s="49" t="s">
        <v>99</v>
      </c>
      <c r="F7" s="49" t="s">
        <v>100</v>
      </c>
      <c r="G7" s="50" t="s">
        <v>101</v>
      </c>
      <c r="I7" s="51" t="s">
        <v>102</v>
      </c>
      <c r="J7" s="52">
        <f>'Assumptions &amp; Cash Flow'!K7</f>
        <v>46022</v>
      </c>
      <c r="K7" s="52">
        <f>'Assumptions &amp; Cash Flow'!L7</f>
        <v>46387</v>
      </c>
      <c r="L7" s="53">
        <f>EDATE(K7,12)</f>
        <v>46752</v>
      </c>
      <c r="M7" s="53">
        <f t="shared" ref="M7:U7" si="1">EDATE(L7,12)</f>
        <v>47118</v>
      </c>
      <c r="N7" s="53">
        <f t="shared" si="1"/>
        <v>47483</v>
      </c>
      <c r="O7" s="53">
        <f t="shared" si="1"/>
        <v>47848</v>
      </c>
      <c r="P7" s="53">
        <f t="shared" si="1"/>
        <v>48213</v>
      </c>
      <c r="Q7" s="53">
        <f t="shared" si="1"/>
        <v>48579</v>
      </c>
      <c r="R7" s="53">
        <f t="shared" si="1"/>
        <v>48944</v>
      </c>
      <c r="S7" s="53">
        <f t="shared" si="1"/>
        <v>49309</v>
      </c>
      <c r="T7" s="53">
        <f t="shared" si="1"/>
        <v>49674</v>
      </c>
      <c r="U7" s="54">
        <f t="shared" si="1"/>
        <v>50040</v>
      </c>
    </row>
    <row r="8" spans="2:21" x14ac:dyDescent="0.2">
      <c r="B8" s="55" t="s">
        <v>103</v>
      </c>
      <c r="C8" s="37">
        <v>1</v>
      </c>
      <c r="D8" s="37">
        <v>650</v>
      </c>
      <c r="E8" s="56">
        <v>1100</v>
      </c>
      <c r="F8" s="126">
        <f>+E8/D8</f>
        <v>1.6923076923076923</v>
      </c>
      <c r="G8" s="57">
        <f t="shared" ref="G8:G35" si="2">E8*12</f>
        <v>13200</v>
      </c>
      <c r="I8" s="58"/>
      <c r="J8" s="135"/>
      <c r="K8" s="59"/>
      <c r="L8" s="59"/>
      <c r="M8" s="59"/>
      <c r="N8" s="59"/>
      <c r="O8" s="59"/>
      <c r="P8" s="59"/>
      <c r="Q8" s="59"/>
      <c r="R8" s="59"/>
      <c r="S8" s="59"/>
      <c r="T8" s="59"/>
      <c r="U8" s="60"/>
    </row>
    <row r="9" spans="2:21" x14ac:dyDescent="0.2">
      <c r="B9" s="61" t="s">
        <v>104</v>
      </c>
      <c r="C9" s="37">
        <v>1</v>
      </c>
      <c r="D9" s="37">
        <v>675</v>
      </c>
      <c r="E9" s="56">
        <v>1125</v>
      </c>
      <c r="F9" s="126">
        <f>+E9/D9</f>
        <v>1.6666666666666667</v>
      </c>
      <c r="G9" s="57">
        <f t="shared" si="2"/>
        <v>13500</v>
      </c>
      <c r="I9" s="42" t="s">
        <v>105</v>
      </c>
      <c r="J9" s="156"/>
      <c r="K9" s="156">
        <v>0.06</v>
      </c>
      <c r="L9" s="156">
        <v>6.5000000000000002E-2</v>
      </c>
      <c r="M9" s="156">
        <v>7.0000000000000007E-2</v>
      </c>
      <c r="N9" s="156">
        <v>6.5000000000000002E-2</v>
      </c>
      <c r="O9" s="156">
        <v>0.06</v>
      </c>
      <c r="P9" s="156">
        <v>3.5000000000000003E-2</v>
      </c>
      <c r="Q9" s="156">
        <v>3.5000000000000003E-2</v>
      </c>
      <c r="R9" s="156">
        <v>3.5000000000000003E-2</v>
      </c>
      <c r="S9" s="156">
        <v>3.5000000000000003E-2</v>
      </c>
      <c r="T9" s="156">
        <v>3.5000000000000003E-2</v>
      </c>
      <c r="U9" s="156">
        <v>3.5000000000000003E-2</v>
      </c>
    </row>
    <row r="10" spans="2:21" x14ac:dyDescent="0.2">
      <c r="B10" s="61" t="s">
        <v>106</v>
      </c>
      <c r="C10" s="37">
        <v>1</v>
      </c>
      <c r="D10" s="37">
        <v>700</v>
      </c>
      <c r="E10" s="56">
        <v>1150</v>
      </c>
      <c r="F10" s="126">
        <f t="shared" ref="F10:F35" si="3">+E10/D10</f>
        <v>1.6428571428571428</v>
      </c>
      <c r="G10" s="57">
        <f t="shared" si="2"/>
        <v>13800</v>
      </c>
      <c r="I10" s="42" t="s">
        <v>107</v>
      </c>
      <c r="J10" s="156"/>
      <c r="K10" s="156">
        <v>6.5000000000000002E-2</v>
      </c>
      <c r="L10" s="156">
        <v>7.0000000000000007E-2</v>
      </c>
      <c r="M10" s="156">
        <v>7.4999999999999997E-2</v>
      </c>
      <c r="N10" s="156">
        <v>7.0000000000000007E-2</v>
      </c>
      <c r="O10" s="156">
        <v>6.5000000000000002E-2</v>
      </c>
      <c r="P10" s="156">
        <v>0.04</v>
      </c>
      <c r="Q10" s="156">
        <v>0.04</v>
      </c>
      <c r="R10" s="156">
        <v>0.04</v>
      </c>
      <c r="S10" s="156">
        <v>0.04</v>
      </c>
      <c r="T10" s="156">
        <v>0.04</v>
      </c>
      <c r="U10" s="156">
        <v>0.04</v>
      </c>
    </row>
    <row r="11" spans="2:21" x14ac:dyDescent="0.2">
      <c r="B11" s="61" t="s">
        <v>108</v>
      </c>
      <c r="C11" s="37">
        <v>1</v>
      </c>
      <c r="D11" s="37">
        <v>725</v>
      </c>
      <c r="E11" s="56">
        <v>1175</v>
      </c>
      <c r="F11" s="126">
        <f t="shared" si="3"/>
        <v>1.6206896551724137</v>
      </c>
      <c r="G11" s="57">
        <f t="shared" si="2"/>
        <v>14100</v>
      </c>
      <c r="I11" s="4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3"/>
    </row>
    <row r="12" spans="2:21" x14ac:dyDescent="0.2">
      <c r="B12" s="61" t="s">
        <v>109</v>
      </c>
      <c r="C12" s="37">
        <v>1</v>
      </c>
      <c r="D12" s="37">
        <v>725</v>
      </c>
      <c r="E12" s="56">
        <v>1200</v>
      </c>
      <c r="F12" s="126">
        <f t="shared" si="3"/>
        <v>1.6551724137931034</v>
      </c>
      <c r="G12" s="57">
        <f t="shared" si="2"/>
        <v>14400</v>
      </c>
      <c r="I12" s="4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3"/>
    </row>
    <row r="13" spans="2:21" x14ac:dyDescent="0.2">
      <c r="B13" s="61" t="s">
        <v>110</v>
      </c>
      <c r="C13" s="37">
        <v>1</v>
      </c>
      <c r="D13" s="37">
        <v>750</v>
      </c>
      <c r="E13" s="56">
        <v>1225</v>
      </c>
      <c r="F13" s="126">
        <f t="shared" si="3"/>
        <v>1.6333333333333333</v>
      </c>
      <c r="G13" s="57">
        <f t="shared" si="2"/>
        <v>14700</v>
      </c>
      <c r="I13" s="42"/>
      <c r="U13" s="64"/>
    </row>
    <row r="14" spans="2:21" x14ac:dyDescent="0.2">
      <c r="B14" s="61" t="s">
        <v>111</v>
      </c>
      <c r="C14" s="37">
        <v>1</v>
      </c>
      <c r="D14" s="37">
        <v>750</v>
      </c>
      <c r="E14" s="56">
        <v>1250</v>
      </c>
      <c r="F14" s="126">
        <f t="shared" si="3"/>
        <v>1.6666666666666667</v>
      </c>
      <c r="G14" s="57">
        <f t="shared" si="2"/>
        <v>15000</v>
      </c>
      <c r="I14" s="42" t="s">
        <v>112</v>
      </c>
      <c r="J14" s="158">
        <f>SUM(G8:G25)</f>
        <v>283500</v>
      </c>
      <c r="K14" s="159">
        <f>J14*(1+K9)</f>
        <v>300510</v>
      </c>
      <c r="L14" s="159">
        <f t="shared" ref="L14:U14" si="4">+K14*(1+L9)</f>
        <v>320043.14999999997</v>
      </c>
      <c r="M14" s="159">
        <f t="shared" si="4"/>
        <v>342446.17050000001</v>
      </c>
      <c r="N14" s="159">
        <f t="shared" si="4"/>
        <v>364705.17158249998</v>
      </c>
      <c r="O14" s="159">
        <f t="shared" si="4"/>
        <v>386587.48187745002</v>
      </c>
      <c r="P14" s="159">
        <f t="shared" si="4"/>
        <v>400118.04374316073</v>
      </c>
      <c r="Q14" s="159">
        <f t="shared" si="4"/>
        <v>414122.17527417134</v>
      </c>
      <c r="R14" s="159">
        <f t="shared" si="4"/>
        <v>428616.45140876732</v>
      </c>
      <c r="S14" s="159">
        <f t="shared" si="4"/>
        <v>443618.02720807411</v>
      </c>
      <c r="T14" s="159">
        <f t="shared" si="4"/>
        <v>459144.65816035669</v>
      </c>
      <c r="U14" s="160">
        <f t="shared" si="4"/>
        <v>475214.72119596915</v>
      </c>
    </row>
    <row r="15" spans="2:21" x14ac:dyDescent="0.2">
      <c r="B15" s="61" t="s">
        <v>113</v>
      </c>
      <c r="C15" s="37">
        <v>1</v>
      </c>
      <c r="D15" s="37">
        <v>750</v>
      </c>
      <c r="E15" s="56">
        <v>1275</v>
      </c>
      <c r="F15" s="126">
        <f t="shared" si="3"/>
        <v>1.7</v>
      </c>
      <c r="G15" s="57">
        <f t="shared" si="2"/>
        <v>15300</v>
      </c>
      <c r="I15" s="42" t="s">
        <v>114</v>
      </c>
      <c r="J15" s="158">
        <f>SUM(G26:G35)</f>
        <v>205500</v>
      </c>
      <c r="K15" s="159">
        <f>J15*(1+K10)</f>
        <v>218857.5</v>
      </c>
      <c r="L15" s="159">
        <f t="shared" ref="L15" si="5">+K15*(1+L10)</f>
        <v>234177.52500000002</v>
      </c>
      <c r="M15" s="159">
        <f t="shared" ref="M15" si="6">+L15*(1+M10)</f>
        <v>251740.83937500001</v>
      </c>
      <c r="N15" s="159">
        <f t="shared" ref="N15" si="7">+M15*(1+N10)</f>
        <v>269362.69813125004</v>
      </c>
      <c r="O15" s="159">
        <f t="shared" ref="O15" si="8">+N15*(1+O10)</f>
        <v>286871.27350978128</v>
      </c>
      <c r="P15" s="159">
        <f t="shared" ref="P15" si="9">+O15*(1+P10)</f>
        <v>298346.12445017253</v>
      </c>
      <c r="Q15" s="159">
        <f t="shared" ref="Q15" si="10">+P15*(1+Q10)</f>
        <v>310279.96942817944</v>
      </c>
      <c r="R15" s="159">
        <f t="shared" ref="R15" si="11">+Q15*(1+R10)</f>
        <v>322691.16820530663</v>
      </c>
      <c r="S15" s="159">
        <f t="shared" ref="S15" si="12">+R15*(1+S10)</f>
        <v>335598.81493351894</v>
      </c>
      <c r="T15" s="159">
        <f t="shared" ref="T15" si="13">+S15*(1+T10)</f>
        <v>349022.76753085968</v>
      </c>
      <c r="U15" s="160">
        <f t="shared" ref="U15" si="14">+T15*(1+U10)</f>
        <v>362983.6782320941</v>
      </c>
    </row>
    <row r="16" spans="2:21" x14ac:dyDescent="0.2">
      <c r="B16" s="61" t="s">
        <v>115</v>
      </c>
      <c r="C16" s="37">
        <v>1</v>
      </c>
      <c r="D16" s="37">
        <v>775</v>
      </c>
      <c r="E16" s="56">
        <v>1300</v>
      </c>
      <c r="F16" s="126">
        <f t="shared" si="3"/>
        <v>1.6774193548387097</v>
      </c>
      <c r="G16" s="57">
        <f t="shared" si="2"/>
        <v>15600</v>
      </c>
      <c r="I16" s="44"/>
      <c r="U16" s="64"/>
    </row>
    <row r="17" spans="2:21" x14ac:dyDescent="0.2">
      <c r="B17" s="61" t="s">
        <v>116</v>
      </c>
      <c r="C17" s="37">
        <v>1</v>
      </c>
      <c r="D17" s="37">
        <v>775</v>
      </c>
      <c r="E17" s="56">
        <v>1325</v>
      </c>
      <c r="F17" s="126">
        <f t="shared" si="3"/>
        <v>1.7096774193548387</v>
      </c>
      <c r="G17" s="57">
        <f t="shared" si="2"/>
        <v>15900</v>
      </c>
      <c r="I17" s="65" t="s">
        <v>117</v>
      </c>
      <c r="J17" s="136">
        <f>SUM(J14:J15)</f>
        <v>489000</v>
      </c>
      <c r="K17" s="136">
        <f t="shared" ref="K17:U17" si="15">SUM(K14:K15)</f>
        <v>519367.5</v>
      </c>
      <c r="L17" s="136">
        <f t="shared" si="15"/>
        <v>554220.67500000005</v>
      </c>
      <c r="M17" s="136">
        <f t="shared" si="15"/>
        <v>594187.00987499999</v>
      </c>
      <c r="N17" s="136">
        <f t="shared" si="15"/>
        <v>634067.86971374997</v>
      </c>
      <c r="O17" s="136">
        <f t="shared" si="15"/>
        <v>673458.75538723124</v>
      </c>
      <c r="P17" s="136">
        <f t="shared" si="15"/>
        <v>698464.16819333332</v>
      </c>
      <c r="Q17" s="136">
        <f t="shared" si="15"/>
        <v>724402.14470235072</v>
      </c>
      <c r="R17" s="136">
        <f t="shared" si="15"/>
        <v>751307.61961407401</v>
      </c>
      <c r="S17" s="136">
        <f t="shared" si="15"/>
        <v>779216.84214159311</v>
      </c>
      <c r="T17" s="136">
        <f t="shared" si="15"/>
        <v>808167.42569121637</v>
      </c>
      <c r="U17" s="136">
        <f t="shared" si="15"/>
        <v>838198.39942806331</v>
      </c>
    </row>
    <row r="18" spans="2:21" x14ac:dyDescent="0.2">
      <c r="B18" s="61" t="s">
        <v>118</v>
      </c>
      <c r="C18" s="37">
        <v>1</v>
      </c>
      <c r="D18" s="37">
        <v>800</v>
      </c>
      <c r="E18" s="56">
        <v>1350</v>
      </c>
      <c r="F18" s="126">
        <f t="shared" si="3"/>
        <v>1.6875</v>
      </c>
      <c r="G18" s="57">
        <f t="shared" si="2"/>
        <v>16200</v>
      </c>
    </row>
    <row r="19" spans="2:21" x14ac:dyDescent="0.2">
      <c r="B19" s="61" t="s">
        <v>119</v>
      </c>
      <c r="C19" s="37">
        <v>1</v>
      </c>
      <c r="D19" s="37">
        <v>800</v>
      </c>
      <c r="E19" s="56">
        <v>1375</v>
      </c>
      <c r="F19" s="126">
        <f t="shared" si="3"/>
        <v>1.71875</v>
      </c>
      <c r="G19" s="57">
        <f t="shared" si="2"/>
        <v>16500</v>
      </c>
      <c r="I19" s="68" t="s">
        <v>120</v>
      </c>
      <c r="J19" s="137"/>
      <c r="K19" s="69">
        <v>0.15</v>
      </c>
      <c r="L19" s="69">
        <v>0.2</v>
      </c>
      <c r="M19" s="69">
        <v>0.15</v>
      </c>
      <c r="N19" s="69">
        <v>0.1</v>
      </c>
      <c r="O19" s="69">
        <v>0.1</v>
      </c>
      <c r="P19" s="69">
        <v>0.05</v>
      </c>
      <c r="Q19" s="69">
        <v>0.03</v>
      </c>
      <c r="R19" s="69">
        <v>0.03</v>
      </c>
      <c r="S19" s="69">
        <v>0.03</v>
      </c>
      <c r="T19" s="69">
        <v>0.03</v>
      </c>
      <c r="U19" s="70">
        <v>0.03</v>
      </c>
    </row>
    <row r="20" spans="2:21" x14ac:dyDescent="0.2">
      <c r="B20" s="61" t="s">
        <v>121</v>
      </c>
      <c r="C20" s="37">
        <v>1</v>
      </c>
      <c r="D20" s="37">
        <v>820</v>
      </c>
      <c r="E20" s="56">
        <v>1400</v>
      </c>
      <c r="F20" s="126">
        <f t="shared" si="3"/>
        <v>1.7073170731707317</v>
      </c>
      <c r="G20" s="57">
        <f t="shared" si="2"/>
        <v>16800</v>
      </c>
    </row>
    <row r="21" spans="2:21" x14ac:dyDescent="0.2">
      <c r="B21" s="61" t="s">
        <v>122</v>
      </c>
      <c r="C21" s="37">
        <v>1</v>
      </c>
      <c r="D21" s="37">
        <v>820</v>
      </c>
      <c r="E21" s="56">
        <v>1425</v>
      </c>
      <c r="F21" s="126">
        <f t="shared" si="3"/>
        <v>1.7378048780487805</v>
      </c>
      <c r="G21" s="57">
        <f t="shared" si="2"/>
        <v>17100</v>
      </c>
      <c r="I21" s="65" t="s">
        <v>9</v>
      </c>
      <c r="J21" s="136"/>
      <c r="K21" s="66">
        <f>-K19*K17</f>
        <v>-77905.125</v>
      </c>
      <c r="L21" s="66">
        <f t="shared" ref="L21:U21" si="16">-L19*L17</f>
        <v>-110844.13500000001</v>
      </c>
      <c r="M21" s="66">
        <f t="shared" si="16"/>
        <v>-89128.05148124999</v>
      </c>
      <c r="N21" s="66">
        <f t="shared" si="16"/>
        <v>-63406.786971374997</v>
      </c>
      <c r="O21" s="66">
        <f t="shared" si="16"/>
        <v>-67345.875538723121</v>
      </c>
      <c r="P21" s="66">
        <f t="shared" si="16"/>
        <v>-34923.208409666666</v>
      </c>
      <c r="Q21" s="66">
        <f t="shared" si="16"/>
        <v>-21732.06434107052</v>
      </c>
      <c r="R21" s="66">
        <f t="shared" si="16"/>
        <v>-22539.228588422218</v>
      </c>
      <c r="S21" s="66">
        <f t="shared" si="16"/>
        <v>-23376.505264247793</v>
      </c>
      <c r="T21" s="66">
        <f t="shared" si="16"/>
        <v>-24245.02277073649</v>
      </c>
      <c r="U21" s="66">
        <f t="shared" si="16"/>
        <v>-25145.9519828419</v>
      </c>
    </row>
    <row r="22" spans="2:21" ht="16" thickBot="1" x14ac:dyDescent="0.25">
      <c r="B22" s="61" t="s">
        <v>123</v>
      </c>
      <c r="C22" s="37">
        <v>1</v>
      </c>
      <c r="D22" s="37">
        <v>850</v>
      </c>
      <c r="E22" s="56">
        <v>1450</v>
      </c>
      <c r="F22" s="126">
        <f t="shared" si="3"/>
        <v>1.7058823529411764</v>
      </c>
      <c r="G22" s="57">
        <f t="shared" si="2"/>
        <v>17400</v>
      </c>
    </row>
    <row r="23" spans="2:21" ht="16" thickBot="1" x14ac:dyDescent="0.25">
      <c r="B23" s="61" t="s">
        <v>124</v>
      </c>
      <c r="C23" s="37">
        <v>1</v>
      </c>
      <c r="D23" s="37">
        <v>850</v>
      </c>
      <c r="E23" s="56">
        <v>1475</v>
      </c>
      <c r="F23" s="126">
        <f t="shared" si="3"/>
        <v>1.7352941176470589</v>
      </c>
      <c r="G23" s="57">
        <f t="shared" si="2"/>
        <v>17700</v>
      </c>
      <c r="I23" s="30" t="s">
        <v>125</v>
      </c>
      <c r="J23" s="31">
        <f>(O17/J17)^(1/5)-1</f>
        <v>6.6106101395544181E-2</v>
      </c>
      <c r="K23" s="153" t="s">
        <v>126</v>
      </c>
    </row>
    <row r="24" spans="2:21" ht="16" thickBot="1" x14ac:dyDescent="0.25">
      <c r="B24" s="61" t="s">
        <v>127</v>
      </c>
      <c r="C24" s="37">
        <v>1</v>
      </c>
      <c r="D24" s="37">
        <v>875</v>
      </c>
      <c r="E24" s="56">
        <v>1500</v>
      </c>
      <c r="F24" s="126">
        <f t="shared" si="3"/>
        <v>1.7142857142857142</v>
      </c>
      <c r="G24" s="57">
        <f t="shared" si="2"/>
        <v>18000</v>
      </c>
      <c r="I24" s="34" t="s">
        <v>128</v>
      </c>
      <c r="J24" s="31">
        <f>(U17/J17)^(1/10)-1</f>
        <v>5.5367696450797199E-2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2:21" x14ac:dyDescent="0.2">
      <c r="B25" s="61" t="s">
        <v>129</v>
      </c>
      <c r="C25" s="37">
        <v>1</v>
      </c>
      <c r="D25" s="37">
        <v>875</v>
      </c>
      <c r="E25" s="56">
        <v>1525</v>
      </c>
      <c r="F25" s="126">
        <f t="shared" si="3"/>
        <v>1.7428571428571429</v>
      </c>
      <c r="G25" s="57">
        <f t="shared" si="2"/>
        <v>18300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2:21" x14ac:dyDescent="0.2">
      <c r="B26" s="61" t="s">
        <v>130</v>
      </c>
      <c r="C26" s="37">
        <v>2</v>
      </c>
      <c r="D26" s="37">
        <v>900</v>
      </c>
      <c r="E26" s="56">
        <v>1600</v>
      </c>
      <c r="F26" s="126">
        <f t="shared" si="3"/>
        <v>1.7777777777777777</v>
      </c>
      <c r="G26" s="57">
        <f t="shared" si="2"/>
        <v>19200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2:21" x14ac:dyDescent="0.2">
      <c r="B27" s="61" t="s">
        <v>131</v>
      </c>
      <c r="C27" s="37">
        <v>2</v>
      </c>
      <c r="D27" s="37">
        <v>900</v>
      </c>
      <c r="E27" s="56">
        <v>1625</v>
      </c>
      <c r="F27" s="126">
        <f t="shared" si="3"/>
        <v>1.8055555555555556</v>
      </c>
      <c r="G27" s="57">
        <f t="shared" si="2"/>
        <v>19500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2:21" x14ac:dyDescent="0.2">
      <c r="B28" s="61" t="s">
        <v>132</v>
      </c>
      <c r="C28" s="37">
        <v>2</v>
      </c>
      <c r="D28" s="37">
        <v>925</v>
      </c>
      <c r="E28" s="56">
        <v>1650</v>
      </c>
      <c r="F28" s="126">
        <f t="shared" si="3"/>
        <v>1.7837837837837838</v>
      </c>
      <c r="G28" s="57">
        <f t="shared" si="2"/>
        <v>19800</v>
      </c>
    </row>
    <row r="29" spans="2:21" x14ac:dyDescent="0.2">
      <c r="B29" s="61" t="s">
        <v>133</v>
      </c>
      <c r="C29" s="37">
        <v>2</v>
      </c>
      <c r="D29" s="37">
        <v>950</v>
      </c>
      <c r="E29" s="56">
        <v>1675</v>
      </c>
      <c r="F29" s="126">
        <f t="shared" si="3"/>
        <v>1.763157894736842</v>
      </c>
      <c r="G29" s="57">
        <f t="shared" si="2"/>
        <v>20100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2:21" x14ac:dyDescent="0.2">
      <c r="B30" s="61" t="s">
        <v>134</v>
      </c>
      <c r="C30" s="37">
        <v>2</v>
      </c>
      <c r="D30" s="37">
        <v>975</v>
      </c>
      <c r="E30" s="56">
        <v>1700</v>
      </c>
      <c r="F30" s="126">
        <f t="shared" si="3"/>
        <v>1.7435897435897436</v>
      </c>
      <c r="G30" s="57">
        <f t="shared" si="2"/>
        <v>20400</v>
      </c>
    </row>
    <row r="31" spans="2:21" x14ac:dyDescent="0.2">
      <c r="B31" s="61" t="s">
        <v>135</v>
      </c>
      <c r="C31" s="37">
        <v>2</v>
      </c>
      <c r="D31" s="37">
        <v>1000</v>
      </c>
      <c r="E31" s="56">
        <v>1725</v>
      </c>
      <c r="F31" s="126">
        <f t="shared" si="3"/>
        <v>1.7250000000000001</v>
      </c>
      <c r="G31" s="57">
        <f t="shared" si="2"/>
        <v>20700</v>
      </c>
    </row>
    <row r="32" spans="2:21" x14ac:dyDescent="0.2">
      <c r="B32" s="61" t="s">
        <v>136</v>
      </c>
      <c r="C32" s="37">
        <v>2</v>
      </c>
      <c r="D32" s="37">
        <v>1025</v>
      </c>
      <c r="E32" s="56">
        <v>1750</v>
      </c>
      <c r="F32" s="126">
        <f t="shared" si="3"/>
        <v>1.7073170731707317</v>
      </c>
      <c r="G32" s="57">
        <f t="shared" si="2"/>
        <v>21000</v>
      </c>
    </row>
    <row r="33" spans="2:7" x14ac:dyDescent="0.2">
      <c r="B33" s="61" t="s">
        <v>137</v>
      </c>
      <c r="C33" s="37">
        <v>2</v>
      </c>
      <c r="D33" s="37">
        <v>1050</v>
      </c>
      <c r="E33" s="56">
        <v>1775</v>
      </c>
      <c r="F33" s="126">
        <f t="shared" si="3"/>
        <v>1.6904761904761905</v>
      </c>
      <c r="G33" s="57">
        <f t="shared" si="2"/>
        <v>21300</v>
      </c>
    </row>
    <row r="34" spans="2:7" x14ac:dyDescent="0.2">
      <c r="B34" s="61" t="s">
        <v>138</v>
      </c>
      <c r="C34" s="37">
        <v>2</v>
      </c>
      <c r="D34" s="37">
        <v>1075</v>
      </c>
      <c r="E34" s="56">
        <v>1800</v>
      </c>
      <c r="F34" s="126">
        <f t="shared" si="3"/>
        <v>1.6744186046511629</v>
      </c>
      <c r="G34" s="57">
        <f t="shared" si="2"/>
        <v>21600</v>
      </c>
    </row>
    <row r="35" spans="2:7" x14ac:dyDescent="0.2">
      <c r="B35" s="61" t="s">
        <v>139</v>
      </c>
      <c r="C35" s="37">
        <v>2</v>
      </c>
      <c r="D35" s="37">
        <v>1100</v>
      </c>
      <c r="E35" s="56">
        <v>1825</v>
      </c>
      <c r="F35" s="126">
        <f t="shared" si="3"/>
        <v>1.6590909090909092</v>
      </c>
      <c r="G35" s="57">
        <f t="shared" si="2"/>
        <v>21900</v>
      </c>
    </row>
    <row r="36" spans="2:7" x14ac:dyDescent="0.2">
      <c r="B36" s="71" t="s">
        <v>140</v>
      </c>
      <c r="C36" s="66">
        <f>COUNTA(C8:C35)</f>
        <v>28</v>
      </c>
      <c r="D36" s="66">
        <f>SUM(D8:D35)</f>
        <v>23865</v>
      </c>
      <c r="E36" s="66">
        <f>SUM(E8:E35)</f>
        <v>40750</v>
      </c>
      <c r="F36" s="127">
        <f>+SUMPRODUCT(F8:F35,D8:D35)/D36</f>
        <v>1.7075214749633354</v>
      </c>
      <c r="G36" s="67">
        <f>SUM(G8:G35)</f>
        <v>489000</v>
      </c>
    </row>
    <row r="48" spans="2:7" x14ac:dyDescent="0.2">
      <c r="B48" s="8"/>
    </row>
    <row r="49" spans="2:6" x14ac:dyDescent="0.2">
      <c r="B49" s="8"/>
    </row>
    <row r="50" spans="2:6" x14ac:dyDescent="0.2">
      <c r="B50" s="8"/>
    </row>
    <row r="51" spans="2:6" x14ac:dyDescent="0.2">
      <c r="E51" s="36"/>
      <c r="F51" s="36"/>
    </row>
    <row r="55" spans="2:6" x14ac:dyDescent="0.2">
      <c r="B55" s="8"/>
    </row>
    <row r="67" spans="2:2" x14ac:dyDescent="0.2">
      <c r="B67" s="8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7153-B0D2-4DF5-AC2D-9FC11D489EEB}">
  <sheetPr>
    <tabColor theme="9" tint="0.79998168889431442"/>
  </sheetPr>
  <dimension ref="B1:L59"/>
  <sheetViews>
    <sheetView showGridLines="0" zoomScaleNormal="130" workbookViewId="0">
      <selection activeCell="H18" sqref="H18"/>
    </sheetView>
  </sheetViews>
  <sheetFormatPr baseColWidth="10" defaultColWidth="12.6640625" defaultRowHeight="15" x14ac:dyDescent="0.2"/>
  <cols>
    <col min="1" max="1" width="3.6640625" style="3" customWidth="1"/>
    <col min="2" max="9" width="12.6640625" style="3"/>
    <col min="10" max="11" width="12.6640625" style="4"/>
    <col min="12" max="12" width="12.6640625" style="39"/>
    <col min="13" max="13" width="4.33203125" style="3" customWidth="1"/>
    <col min="14" max="14" width="12.6640625" style="3"/>
    <col min="15" max="15" width="14.5" style="3" bestFit="1" customWidth="1"/>
    <col min="16" max="16384" width="12.6640625" style="3"/>
  </cols>
  <sheetData>
    <row r="1" spans="2:12" ht="24" x14ac:dyDescent="0.2">
      <c r="B1" s="85" t="s">
        <v>141</v>
      </c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2:12" s="5" customFormat="1" ht="3" customHeight="1" x14ac:dyDescent="0.2">
      <c r="J2" s="6"/>
      <c r="K2" s="6"/>
      <c r="L2" s="38"/>
    </row>
    <row r="3" spans="2:12" ht="3" customHeight="1" x14ac:dyDescent="0.2"/>
    <row r="4" spans="2:12" s="5" customFormat="1" ht="3" customHeight="1" x14ac:dyDescent="0.2">
      <c r="J4" s="6"/>
      <c r="K4" s="6"/>
      <c r="L4" s="38"/>
    </row>
    <row r="6" spans="2:12" x14ac:dyDescent="0.2">
      <c r="B6" s="3" t="s">
        <v>142</v>
      </c>
      <c r="C6" s="24">
        <f>'Assumptions &amp; Cash Flow'!G10</f>
        <v>23865</v>
      </c>
      <c r="D6" s="24"/>
      <c r="E6" s="24"/>
      <c r="F6" s="24"/>
      <c r="G6" s="24"/>
      <c r="H6" s="24"/>
      <c r="I6" s="24"/>
    </row>
    <row r="8" spans="2:12" ht="16" thickBot="1" x14ac:dyDescent="0.25">
      <c r="B8" s="86" t="s">
        <v>141</v>
      </c>
      <c r="C8" s="87"/>
      <c r="D8" s="87"/>
      <c r="E8" s="87"/>
      <c r="F8" s="87"/>
      <c r="G8" s="87"/>
      <c r="H8" s="87"/>
      <c r="I8" s="87"/>
      <c r="J8" s="87"/>
      <c r="K8" s="87"/>
      <c r="L8" s="88"/>
    </row>
    <row r="9" spans="2:12" x14ac:dyDescent="0.2">
      <c r="B9" s="89"/>
      <c r="C9" s="112"/>
      <c r="D9" s="113" t="s">
        <v>143</v>
      </c>
      <c r="E9" s="113"/>
      <c r="F9" s="113"/>
      <c r="G9" s="97" t="s">
        <v>144</v>
      </c>
      <c r="H9" s="98"/>
      <c r="I9" s="104"/>
      <c r="J9" s="113" t="s">
        <v>145</v>
      </c>
      <c r="K9" s="113"/>
      <c r="L9" s="92"/>
    </row>
    <row r="10" spans="2:12" x14ac:dyDescent="0.2">
      <c r="B10" s="40" t="s">
        <v>146</v>
      </c>
      <c r="C10" s="114"/>
      <c r="D10" s="115" t="s">
        <v>140</v>
      </c>
      <c r="E10" s="115" t="s">
        <v>147</v>
      </c>
      <c r="F10" s="109" t="s">
        <v>148</v>
      </c>
      <c r="G10" s="99" t="s">
        <v>140</v>
      </c>
      <c r="H10" s="115" t="s">
        <v>147</v>
      </c>
      <c r="I10" s="41" t="s">
        <v>148</v>
      </c>
      <c r="J10" s="115" t="s">
        <v>140</v>
      </c>
      <c r="K10" s="115" t="s">
        <v>147</v>
      </c>
      <c r="L10" s="41" t="s">
        <v>148</v>
      </c>
    </row>
    <row r="11" spans="2:12" x14ac:dyDescent="0.2">
      <c r="B11" s="42" t="s">
        <v>149</v>
      </c>
      <c r="D11" s="13">
        <f>'Assumptions &amp; Cash Flow'!G48</f>
        <v>3127927.7425000002</v>
      </c>
      <c r="E11" s="110">
        <f t="shared" ref="E11:E12" si="0">D11/$C$6</f>
        <v>131.06757772889168</v>
      </c>
      <c r="F11" s="116">
        <f>D11/D$13</f>
        <v>0.47131485522713656</v>
      </c>
      <c r="G11" s="100">
        <v>0</v>
      </c>
      <c r="H11" s="110">
        <f t="shared" ref="H11:H12" si="1">G11/$C$6</f>
        <v>0</v>
      </c>
      <c r="I11" s="105">
        <f>G11/G$13</f>
        <v>0</v>
      </c>
      <c r="J11" s="21">
        <f>D11+G11</f>
        <v>3127927.7425000002</v>
      </c>
      <c r="K11" s="110">
        <f>J11/$C$6</f>
        <v>131.06757772889168</v>
      </c>
      <c r="L11" s="122">
        <f>J11/$J$13</f>
        <v>0.44169794134798107</v>
      </c>
    </row>
    <row r="12" spans="2:12" x14ac:dyDescent="0.2">
      <c r="B12" s="42" t="s">
        <v>150</v>
      </c>
      <c r="D12" s="4">
        <f>D20-D11</f>
        <v>3508671.3542812499</v>
      </c>
      <c r="E12" s="110">
        <f t="shared" si="0"/>
        <v>147.02163646684474</v>
      </c>
      <c r="F12" s="116">
        <f>D12/D$13</f>
        <v>0.52868514477286344</v>
      </c>
      <c r="G12" s="61">
        <f>G20-G11</f>
        <v>445000</v>
      </c>
      <c r="H12" s="110">
        <f t="shared" si="1"/>
        <v>18.64655353027446</v>
      </c>
      <c r="I12" s="105">
        <f>G12/G$13</f>
        <v>1</v>
      </c>
      <c r="J12" s="4">
        <f>D12+G12</f>
        <v>3953671.3542812499</v>
      </c>
      <c r="K12" s="110">
        <f>J12/$C$6</f>
        <v>165.66818999711921</v>
      </c>
      <c r="L12" s="122">
        <f>J12/$J$13</f>
        <v>0.55830205865201898</v>
      </c>
    </row>
    <row r="13" spans="2:12" x14ac:dyDescent="0.2">
      <c r="B13" s="43" t="s">
        <v>151</v>
      </c>
      <c r="C13" s="117"/>
      <c r="D13" s="118">
        <f>SUM(D11:D12)</f>
        <v>6636599.0967812501</v>
      </c>
      <c r="E13" s="111">
        <f>SUM(E11:E12)</f>
        <v>278.08921419573642</v>
      </c>
      <c r="F13" s="124">
        <f>D13/D$13</f>
        <v>1</v>
      </c>
      <c r="G13" s="101">
        <f>SUM(G11:G12)</f>
        <v>445000</v>
      </c>
      <c r="H13" s="111">
        <f>SUM(H11:H12)</f>
        <v>18.64655353027446</v>
      </c>
      <c r="I13" s="106">
        <f>G13/G$13</f>
        <v>1</v>
      </c>
      <c r="J13" s="118">
        <f>SUM(J11:J12)</f>
        <v>7081599.0967812501</v>
      </c>
      <c r="K13" s="111">
        <f>SUM(K11:K12)</f>
        <v>296.73576772601086</v>
      </c>
      <c r="L13" s="119">
        <f>SUM(L11:L12)</f>
        <v>1</v>
      </c>
    </row>
    <row r="14" spans="2:12" x14ac:dyDescent="0.2">
      <c r="B14" s="40" t="s">
        <v>152</v>
      </c>
      <c r="C14" s="114"/>
      <c r="D14" s="120" t="s">
        <v>140</v>
      </c>
      <c r="E14" s="109" t="s">
        <v>147</v>
      </c>
      <c r="F14" s="114" t="s">
        <v>148</v>
      </c>
      <c r="G14" s="102" t="s">
        <v>140</v>
      </c>
      <c r="H14" s="109" t="s">
        <v>147</v>
      </c>
      <c r="I14" s="107" t="s">
        <v>148</v>
      </c>
      <c r="J14" s="120" t="s">
        <v>140</v>
      </c>
      <c r="K14" s="109" t="s">
        <v>147</v>
      </c>
      <c r="L14" s="121" t="s">
        <v>140</v>
      </c>
    </row>
    <row r="15" spans="2:12" x14ac:dyDescent="0.2">
      <c r="B15" s="42" t="s">
        <v>17</v>
      </c>
      <c r="D15" s="13">
        <f>'Assumptions &amp; Cash Flow'!G14</f>
        <v>6500000</v>
      </c>
      <c r="E15" s="110">
        <f>D15/$C$6</f>
        <v>272.36538864445839</v>
      </c>
      <c r="F15" s="116">
        <f>D15/D$20</f>
        <v>0.97941730473858202</v>
      </c>
      <c r="G15" s="100">
        <v>0</v>
      </c>
      <c r="H15" s="110">
        <f>G15/$C$6</f>
        <v>0</v>
      </c>
      <c r="I15" s="105">
        <f>G15/G$20</f>
        <v>0</v>
      </c>
      <c r="J15" s="21">
        <f>D15+G15</f>
        <v>6500000</v>
      </c>
      <c r="K15" s="110">
        <f>J15/$C$6</f>
        <v>272.36538864445839</v>
      </c>
      <c r="L15" s="122">
        <f>J15/$J$20</f>
        <v>0.91787178448924056</v>
      </c>
    </row>
    <row r="16" spans="2:12" x14ac:dyDescent="0.2">
      <c r="B16" s="42" t="s">
        <v>153</v>
      </c>
      <c r="D16" s="13">
        <f>'Assumptions &amp; Cash Flow'!G16</f>
        <v>97500</v>
      </c>
      <c r="E16" s="110">
        <f>D16/$C$6</f>
        <v>4.0854808296668761</v>
      </c>
      <c r="F16" s="116">
        <f t="shared" ref="F16:F20" si="2">D16/D$20</f>
        <v>1.4691259571078731E-2</v>
      </c>
      <c r="G16" s="100">
        <v>0</v>
      </c>
      <c r="H16" s="110">
        <f>G16/$C$6</f>
        <v>0</v>
      </c>
      <c r="I16" s="105">
        <f t="shared" ref="I16:I20" si="3">G16/G$20</f>
        <v>0</v>
      </c>
      <c r="J16" s="21">
        <f>D16+G16</f>
        <v>97500</v>
      </c>
      <c r="K16" s="110">
        <f>J16/$C$6</f>
        <v>4.0854808296668761</v>
      </c>
      <c r="L16" s="122">
        <f>J16/$J$20</f>
        <v>1.3768076767338608E-2</v>
      </c>
    </row>
    <row r="17" spans="2:12" x14ac:dyDescent="0.2">
      <c r="B17" s="42" t="s">
        <v>154</v>
      </c>
      <c r="D17" s="13">
        <f>+J11*'Assumptions &amp; Cash Flow'!$G$17</f>
        <v>39099.096781250002</v>
      </c>
      <c r="E17" s="110">
        <f>D17/$C$6</f>
        <v>1.6383447216111462</v>
      </c>
      <c r="F17" s="116">
        <f t="shared" si="2"/>
        <v>5.8914356903392072E-3</v>
      </c>
      <c r="G17" s="100">
        <v>0</v>
      </c>
      <c r="H17" s="110">
        <f>G17/$C$6</f>
        <v>0</v>
      </c>
      <c r="I17" s="105">
        <f t="shared" si="3"/>
        <v>0</v>
      </c>
      <c r="J17" s="21">
        <f>D17+G17</f>
        <v>39099.096781250002</v>
      </c>
      <c r="K17" s="110">
        <f>J17/$C$6</f>
        <v>1.6383447216111462</v>
      </c>
      <c r="L17" s="122">
        <f>J17/$J$20</f>
        <v>5.5212242668497627E-3</v>
      </c>
    </row>
    <row r="18" spans="2:12" x14ac:dyDescent="0.2">
      <c r="B18" s="42" t="s">
        <v>155</v>
      </c>
      <c r="D18" s="4">
        <f>E18*$C$6</f>
        <v>0</v>
      </c>
      <c r="E18" s="90">
        <v>0</v>
      </c>
      <c r="F18" s="116">
        <f t="shared" si="2"/>
        <v>0</v>
      </c>
      <c r="G18" s="61">
        <f>H18*C6</f>
        <v>445000</v>
      </c>
      <c r="H18" s="90">
        <f>'Assumptions &amp; Cash Flow'!G41/'Assumptions &amp; Cash Flow'!G10</f>
        <v>18.64655353027446</v>
      </c>
      <c r="I18" s="105">
        <f t="shared" si="3"/>
        <v>1</v>
      </c>
      <c r="J18" s="4">
        <f>D18+G18</f>
        <v>445000</v>
      </c>
      <c r="K18" s="110">
        <f t="shared" ref="K18:K19" si="4">J18/$C$6</f>
        <v>18.64655353027446</v>
      </c>
      <c r="L18" s="122">
        <f>J18/$J$20</f>
        <v>6.2838914476571084E-2</v>
      </c>
    </row>
    <row r="19" spans="2:12" x14ac:dyDescent="0.2">
      <c r="B19" s="42" t="s">
        <v>156</v>
      </c>
      <c r="D19" s="4">
        <f t="shared" ref="D19" si="5">E19*$C$6</f>
        <v>0</v>
      </c>
      <c r="E19" s="90">
        <v>0</v>
      </c>
      <c r="F19" s="116">
        <f t="shared" si="2"/>
        <v>0</v>
      </c>
      <c r="G19" s="61">
        <f t="shared" ref="G19" si="6">H19*$C$6</f>
        <v>0</v>
      </c>
      <c r="H19" s="90">
        <v>0</v>
      </c>
      <c r="I19" s="105">
        <f t="shared" si="3"/>
        <v>0</v>
      </c>
      <c r="J19" s="4">
        <f>D19+G19</f>
        <v>0</v>
      </c>
      <c r="K19" s="110">
        <f t="shared" si="4"/>
        <v>0</v>
      </c>
      <c r="L19" s="122">
        <f>J19/$J$20</f>
        <v>0</v>
      </c>
    </row>
    <row r="20" spans="2:12" x14ac:dyDescent="0.2">
      <c r="B20" s="93" t="s">
        <v>157</v>
      </c>
      <c r="C20" s="94"/>
      <c r="D20" s="95">
        <f>SUM(D15:D19)</f>
        <v>6636599.0967812501</v>
      </c>
      <c r="E20" s="96">
        <f>SUM(E15:E19)</f>
        <v>278.08921419573642</v>
      </c>
      <c r="F20" s="91">
        <f t="shared" si="2"/>
        <v>1</v>
      </c>
      <c r="G20" s="103">
        <f>SUM(G15:G19)</f>
        <v>445000</v>
      </c>
      <c r="H20" s="96">
        <f>SUM(H15:H19)</f>
        <v>18.64655353027446</v>
      </c>
      <c r="I20" s="108">
        <f t="shared" si="3"/>
        <v>1</v>
      </c>
      <c r="J20" s="95">
        <f>SUM(J15:J19)</f>
        <v>7081599.0967812501</v>
      </c>
      <c r="K20" s="96">
        <f>SUM(K15:K19)</f>
        <v>296.73576772601086</v>
      </c>
      <c r="L20" s="108">
        <f>SUM(L15:L19)</f>
        <v>1</v>
      </c>
    </row>
    <row r="23" spans="2:12" x14ac:dyDescent="0.2">
      <c r="B23" s="8"/>
      <c r="C23" s="8"/>
      <c r="D23" s="8"/>
      <c r="E23" s="8"/>
      <c r="F23" s="8"/>
      <c r="G23" s="8"/>
      <c r="H23" s="8"/>
      <c r="I23" s="8"/>
    </row>
    <row r="24" spans="2:12" x14ac:dyDescent="0.2">
      <c r="B24" s="8"/>
      <c r="C24" s="8"/>
      <c r="D24" s="8"/>
      <c r="E24" s="8"/>
      <c r="F24" s="8"/>
      <c r="G24" s="8"/>
      <c r="H24" s="8"/>
      <c r="I24" s="8"/>
    </row>
    <row r="34" spans="2:2" x14ac:dyDescent="0.2">
      <c r="B34" s="8"/>
    </row>
    <row r="47" spans="2:2" x14ac:dyDescent="0.2">
      <c r="B47" s="8"/>
    </row>
    <row r="59" spans="2:2" x14ac:dyDescent="0.2">
      <c r="B59" s="8"/>
    </row>
  </sheetData>
  <pageMargins left="0.7" right="0.7" top="0.75" bottom="0.75" header="0.3" footer="0.3"/>
  <ignoredErrors>
    <ignoredError sqref="F13:L17 F20:L20 F18 I18:L18 F19:G19 I19:L19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DD7D-31FD-4863-97B1-114DEF1CCA90}">
  <sheetPr>
    <tabColor theme="9" tint="0.79998168889431442"/>
  </sheetPr>
  <dimension ref="B1:L18"/>
  <sheetViews>
    <sheetView zoomScale="108" workbookViewId="0">
      <selection activeCell="D17" sqref="D17"/>
    </sheetView>
  </sheetViews>
  <sheetFormatPr baseColWidth="10" defaultColWidth="12.6640625" defaultRowHeight="15" x14ac:dyDescent="0.2"/>
  <cols>
    <col min="1" max="2" width="3.6640625" style="3" customWidth="1"/>
    <col min="3" max="3" width="25" style="3" bestFit="1" customWidth="1"/>
    <col min="4" max="4" width="15.5" style="3" customWidth="1"/>
    <col min="5" max="5" width="3.5" style="3" customWidth="1"/>
    <col min="6" max="6" width="17.6640625" style="3" bestFit="1" customWidth="1"/>
    <col min="7" max="7" width="15.5" style="3" customWidth="1"/>
    <col min="8" max="8" width="3.5" style="3" customWidth="1"/>
    <col min="9" max="9" width="17.6640625" style="3" bestFit="1" customWidth="1"/>
    <col min="10" max="10" width="15.5" style="3" customWidth="1"/>
    <col min="11" max="11" width="4.6640625" style="3" customWidth="1"/>
    <col min="12" max="16384" width="12.6640625" style="3"/>
  </cols>
  <sheetData>
    <row r="1" spans="2:12" ht="24" x14ac:dyDescent="0.2">
      <c r="B1" s="163" t="s">
        <v>158</v>
      </c>
      <c r="C1" s="163"/>
      <c r="D1" s="163"/>
      <c r="E1" s="163"/>
      <c r="F1" s="163"/>
    </row>
    <row r="2" spans="2:12" s="5" customFormat="1" ht="3" customHeight="1" x14ac:dyDescent="0.2">
      <c r="F2" s="72"/>
    </row>
    <row r="3" spans="2:12" ht="3" customHeight="1" x14ac:dyDescent="0.2">
      <c r="F3" s="7"/>
    </row>
    <row r="4" spans="2:12" s="5" customFormat="1" ht="3" customHeight="1" x14ac:dyDescent="0.2">
      <c r="F4" s="72"/>
    </row>
    <row r="5" spans="2:12" x14ac:dyDescent="0.2">
      <c r="F5" s="7"/>
    </row>
    <row r="6" spans="2:12" x14ac:dyDescent="0.2">
      <c r="C6" s="8"/>
      <c r="D6" s="132"/>
      <c r="F6" s="7"/>
    </row>
    <row r="8" spans="2:12" x14ac:dyDescent="0.2">
      <c r="C8" s="164" t="s">
        <v>159</v>
      </c>
      <c r="D8" s="165"/>
      <c r="E8"/>
      <c r="F8" s="164" t="s">
        <v>160</v>
      </c>
      <c r="G8" s="165"/>
      <c r="H8"/>
      <c r="I8" s="164" t="s">
        <v>161</v>
      </c>
      <c r="J8" s="165"/>
      <c r="L8" s="74"/>
    </row>
    <row r="9" spans="2:12" x14ac:dyDescent="0.2">
      <c r="C9" t="s">
        <v>162</v>
      </c>
      <c r="D9" s="73">
        <f>'Assumptions &amp; Cash Flow'!L27</f>
        <v>312792.77425000002</v>
      </c>
      <c r="E9"/>
      <c r="F9" t="s">
        <v>162</v>
      </c>
      <c r="G9" s="73">
        <f>'Assumptions &amp; Cash Flow'!L27</f>
        <v>312792.77425000002</v>
      </c>
      <c r="H9"/>
      <c r="I9" s="3" t="s">
        <v>17</v>
      </c>
      <c r="J9" s="133">
        <f>'Assumptions &amp; Cash Flow'!G14</f>
        <v>6500000</v>
      </c>
      <c r="L9" s="76"/>
    </row>
    <row r="10" spans="2:12" x14ac:dyDescent="0.2">
      <c r="C10" t="s">
        <v>159</v>
      </c>
      <c r="D10" s="74">
        <v>1.25</v>
      </c>
      <c r="E10"/>
      <c r="F10" t="s">
        <v>160</v>
      </c>
      <c r="G10" s="75">
        <v>0.1</v>
      </c>
      <c r="H10"/>
      <c r="I10" t="s">
        <v>161</v>
      </c>
      <c r="J10" s="75">
        <v>0.65</v>
      </c>
      <c r="L10" s="125"/>
    </row>
    <row r="11" spans="2:12" x14ac:dyDescent="0.2">
      <c r="C11" t="s">
        <v>55</v>
      </c>
      <c r="D11" s="76">
        <f>D9/D10</f>
        <v>250234.2194</v>
      </c>
      <c r="E11"/>
      <c r="F11" t="s">
        <v>70</v>
      </c>
      <c r="G11" s="77">
        <f>G9/G10</f>
        <v>3127927.7425000002</v>
      </c>
      <c r="H11"/>
      <c r="I11" t="s">
        <v>70</v>
      </c>
      <c r="J11" s="77">
        <f>J9*J10</f>
        <v>4225000</v>
      </c>
      <c r="L11" s="15"/>
    </row>
    <row r="12" spans="2:12" x14ac:dyDescent="0.2">
      <c r="C12" t="s">
        <v>75</v>
      </c>
      <c r="D12" s="125">
        <v>5.3199999999999997E-2</v>
      </c>
      <c r="E12"/>
      <c r="F12"/>
      <c r="G12" s="78"/>
      <c r="H12"/>
      <c r="I12"/>
      <c r="J12" s="75"/>
      <c r="L12" s="76"/>
    </row>
    <row r="13" spans="2:12" x14ac:dyDescent="0.2">
      <c r="C13" t="s">
        <v>163</v>
      </c>
      <c r="D13" s="15">
        <v>30</v>
      </c>
      <c r="E13"/>
      <c r="F13"/>
      <c r="G13" s="78"/>
      <c r="H13"/>
      <c r="I13"/>
      <c r="J13" s="77"/>
    </row>
    <row r="14" spans="2:12" x14ac:dyDescent="0.2">
      <c r="C14" t="s">
        <v>70</v>
      </c>
      <c r="D14" s="76">
        <f>PV(D12/12,D13*12,-D11/12)</f>
        <v>3746824.6820053314</v>
      </c>
      <c r="E14"/>
      <c r="F14"/>
      <c r="G14"/>
      <c r="H14"/>
      <c r="I14"/>
      <c r="J14"/>
    </row>
    <row r="15" spans="2:12" x14ac:dyDescent="0.2">
      <c r="C15"/>
      <c r="D15" s="79"/>
      <c r="E15"/>
      <c r="F15"/>
      <c r="G15"/>
      <c r="H15"/>
      <c r="I15"/>
      <c r="J15" s="80"/>
    </row>
    <row r="16" spans="2:12" x14ac:dyDescent="0.2">
      <c r="C16" s="81" t="s">
        <v>164</v>
      </c>
      <c r="D16" s="82">
        <f>G11</f>
        <v>3127927.7425000002</v>
      </c>
      <c r="E16"/>
      <c r="F16"/>
      <c r="G16"/>
      <c r="H16"/>
      <c r="I16"/>
      <c r="J16" s="78"/>
    </row>
    <row r="17" spans="3:10" x14ac:dyDescent="0.2">
      <c r="C17"/>
      <c r="D17"/>
      <c r="E17"/>
      <c r="F17"/>
      <c r="G17"/>
      <c r="H17"/>
      <c r="I17"/>
      <c r="J17" s="78"/>
    </row>
    <row r="18" spans="3:10" x14ac:dyDescent="0.2">
      <c r="E18"/>
      <c r="F18"/>
      <c r="G18"/>
      <c r="H18"/>
      <c r="I18"/>
      <c r="J18"/>
    </row>
  </sheetData>
  <mergeCells count="4">
    <mergeCell ref="B1:F1"/>
    <mergeCell ref="C8:D8"/>
    <mergeCell ref="F8:G8"/>
    <mergeCell ref="I8:J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50E2-6F82-6E47-9D2C-8A6B80654F65}">
  <dimension ref="A1:F373"/>
  <sheetViews>
    <sheetView showGridLines="0" topLeftCell="A102" workbookViewId="0">
      <selection activeCell="B8" sqref="B8"/>
    </sheetView>
  </sheetViews>
  <sheetFormatPr baseColWidth="10" defaultColWidth="11.5" defaultRowHeight="15" x14ac:dyDescent="0.2"/>
  <cols>
    <col min="1" max="1" width="28.6640625" customWidth="1"/>
    <col min="2" max="2" width="11.6640625" bestFit="1" customWidth="1"/>
    <col min="3" max="3" width="18.1640625" customWidth="1"/>
    <col min="4" max="4" width="19.6640625" customWidth="1"/>
    <col min="5" max="5" width="14.1640625" customWidth="1"/>
    <col min="6" max="6" width="13.1640625" bestFit="1" customWidth="1"/>
  </cols>
  <sheetData>
    <row r="1" spans="1:6" x14ac:dyDescent="0.2">
      <c r="A1" s="138" t="s">
        <v>165</v>
      </c>
      <c r="B1" s="139"/>
      <c r="C1" s="140"/>
      <c r="D1" s="140"/>
      <c r="E1" s="140"/>
      <c r="F1" s="140"/>
    </row>
    <row r="2" spans="1:6" x14ac:dyDescent="0.2">
      <c r="A2" s="140" t="s">
        <v>70</v>
      </c>
      <c r="B2" s="141">
        <f>'Debt Sizing'!D16</f>
        <v>3127927.7425000002</v>
      </c>
      <c r="C2" s="140"/>
      <c r="D2" s="140"/>
      <c r="E2" s="140"/>
      <c r="F2" s="140"/>
    </row>
    <row r="3" spans="1:6" x14ac:dyDescent="0.2">
      <c r="A3" s="140" t="s">
        <v>75</v>
      </c>
      <c r="B3" s="142">
        <f>'Assumptions &amp; Cash Flow'!G51</f>
        <v>5.3199999999999997E-2</v>
      </c>
      <c r="C3" s="140"/>
      <c r="D3" s="140"/>
      <c r="E3" s="140"/>
      <c r="F3" s="140"/>
    </row>
    <row r="4" spans="1:6" x14ac:dyDescent="0.2">
      <c r="A4" s="140" t="s">
        <v>166</v>
      </c>
      <c r="B4" s="140">
        <f>'Assumptions &amp; Cash Flow'!G49</f>
        <v>10</v>
      </c>
      <c r="C4" s="140"/>
      <c r="D4" s="140"/>
      <c r="E4" s="140"/>
      <c r="F4" s="140"/>
    </row>
    <row r="5" spans="1:6" x14ac:dyDescent="0.2">
      <c r="A5" s="140" t="s">
        <v>73</v>
      </c>
      <c r="B5" s="140">
        <f>'Assumptions &amp; Cash Flow'!G50</f>
        <v>30</v>
      </c>
      <c r="C5" s="140"/>
      <c r="D5" s="140"/>
      <c r="E5" s="140"/>
      <c r="F5" s="140"/>
    </row>
    <row r="6" spans="1:6" x14ac:dyDescent="0.2">
      <c r="A6" s="140" t="s">
        <v>167</v>
      </c>
      <c r="B6" s="149">
        <f>'Assumptions &amp; Cash Flow'!G52</f>
        <v>12</v>
      </c>
      <c r="C6" s="140"/>
      <c r="D6" s="140"/>
      <c r="E6" s="140"/>
      <c r="F6" s="140"/>
    </row>
    <row r="7" spans="1:6" x14ac:dyDescent="0.2">
      <c r="A7" s="140" t="s">
        <v>168</v>
      </c>
      <c r="B7" s="141">
        <f>E14</f>
        <v>17408.397407881286</v>
      </c>
      <c r="C7" s="140"/>
      <c r="D7" s="140"/>
      <c r="E7" s="140"/>
      <c r="F7" s="140"/>
    </row>
    <row r="8" spans="1:6" x14ac:dyDescent="0.2">
      <c r="A8" s="139" t="s">
        <v>169</v>
      </c>
      <c r="B8" s="143">
        <f>B7*12</f>
        <v>208900.76889457542</v>
      </c>
      <c r="C8" s="140"/>
      <c r="D8" s="140"/>
      <c r="E8" s="140"/>
      <c r="F8" s="140"/>
    </row>
    <row r="9" spans="1:6" x14ac:dyDescent="0.2">
      <c r="A9" s="140"/>
      <c r="B9" s="140"/>
      <c r="C9" s="140"/>
      <c r="D9" s="140"/>
      <c r="E9" s="140"/>
      <c r="F9" s="140"/>
    </row>
    <row r="10" spans="1:6" x14ac:dyDescent="0.2">
      <c r="A10" s="140"/>
      <c r="B10" s="140"/>
      <c r="C10" s="140"/>
      <c r="D10" s="140"/>
      <c r="E10" s="140"/>
      <c r="F10" s="140"/>
    </row>
    <row r="11" spans="1:6" x14ac:dyDescent="0.2">
      <c r="A11" s="144"/>
      <c r="B11" s="144" t="s">
        <v>170</v>
      </c>
      <c r="C11" s="144"/>
      <c r="D11" s="144"/>
      <c r="E11" s="145" t="s">
        <v>140</v>
      </c>
      <c r="F11" s="145" t="s">
        <v>171</v>
      </c>
    </row>
    <row r="12" spans="1:6" x14ac:dyDescent="0.2">
      <c r="A12" s="147" t="s">
        <v>172</v>
      </c>
      <c r="B12" s="138" t="s">
        <v>173</v>
      </c>
      <c r="C12" s="151" t="s">
        <v>174</v>
      </c>
      <c r="D12" s="151" t="s">
        <v>175</v>
      </c>
      <c r="E12" s="151" t="s">
        <v>176</v>
      </c>
      <c r="F12" s="151" t="s">
        <v>173</v>
      </c>
    </row>
    <row r="13" spans="1:6" x14ac:dyDescent="0.2">
      <c r="A13" s="146">
        <v>0</v>
      </c>
      <c r="B13" s="140"/>
      <c r="C13" s="140"/>
      <c r="D13" s="140"/>
      <c r="E13" s="140"/>
      <c r="F13" s="141"/>
    </row>
    <row r="14" spans="1:6" x14ac:dyDescent="0.2">
      <c r="A14" s="146">
        <v>1</v>
      </c>
      <c r="B14" s="141">
        <f>B2</f>
        <v>3127927.7425000002</v>
      </c>
      <c r="C14" s="141">
        <f>B14*($B$3/12)</f>
        <v>13867.146325083335</v>
      </c>
      <c r="D14" s="141">
        <f>E14-C14</f>
        <v>3541.2510827979513</v>
      </c>
      <c r="E14" s="141">
        <f>PMT($B$3/12,$B$5*12,-$B$2)</f>
        <v>17408.397407881286</v>
      </c>
      <c r="F14" s="141">
        <f>B14-D14</f>
        <v>3124386.4914172022</v>
      </c>
    </row>
    <row r="15" spans="1:6" x14ac:dyDescent="0.2">
      <c r="A15" s="146">
        <v>2</v>
      </c>
      <c r="B15" s="141">
        <f>F14</f>
        <v>3124386.4914172022</v>
      </c>
      <c r="C15" s="141">
        <f>B15*($B$3/12)</f>
        <v>13851.446778616262</v>
      </c>
      <c r="D15" s="141">
        <f>E15-C15</f>
        <v>3556.950629265024</v>
      </c>
      <c r="E15" s="141">
        <f>PMT($B$3/12,$B$5*12,-$B$2)</f>
        <v>17408.397407881286</v>
      </c>
      <c r="F15" s="141">
        <f>B15-D15</f>
        <v>3120829.5407879371</v>
      </c>
    </row>
    <row r="16" spans="1:6" x14ac:dyDescent="0.2">
      <c r="A16" s="146">
        <v>3</v>
      </c>
      <c r="B16" s="141">
        <f t="shared" ref="B16:B79" si="0">F15</f>
        <v>3120829.5407879371</v>
      </c>
      <c r="C16" s="141">
        <f t="shared" ref="C16:C79" si="1">B16*($B$3/12)</f>
        <v>13835.677630826522</v>
      </c>
      <c r="D16" s="141">
        <f t="shared" ref="D16:D79" si="2">E16-C16</f>
        <v>3572.7197770547646</v>
      </c>
      <c r="E16" s="141">
        <f t="shared" ref="E16:E79" si="3">PMT($B$3/12,$B$5*12,-$B$2)</f>
        <v>17408.397407881286</v>
      </c>
      <c r="F16" s="141">
        <f t="shared" ref="F16:F79" si="4">B16-D16</f>
        <v>3117256.8210108825</v>
      </c>
    </row>
    <row r="17" spans="1:6" x14ac:dyDescent="0.2">
      <c r="A17" s="146">
        <v>4</v>
      </c>
      <c r="B17" s="141">
        <f t="shared" si="0"/>
        <v>3117256.8210108825</v>
      </c>
      <c r="C17" s="141">
        <f t="shared" si="1"/>
        <v>13819.838573148247</v>
      </c>
      <c r="D17" s="141">
        <f t="shared" si="2"/>
        <v>3588.5588347330395</v>
      </c>
      <c r="E17" s="141">
        <f t="shared" si="3"/>
        <v>17408.397407881286</v>
      </c>
      <c r="F17" s="141">
        <f t="shared" si="4"/>
        <v>3113668.2621761495</v>
      </c>
    </row>
    <row r="18" spans="1:6" x14ac:dyDescent="0.2">
      <c r="A18" s="146">
        <v>5</v>
      </c>
      <c r="B18" s="141">
        <f t="shared" si="0"/>
        <v>3113668.2621761495</v>
      </c>
      <c r="C18" s="141">
        <f t="shared" si="1"/>
        <v>13803.929295647597</v>
      </c>
      <c r="D18" s="141">
        <f t="shared" si="2"/>
        <v>3604.4681122336897</v>
      </c>
      <c r="E18" s="141">
        <f t="shared" si="3"/>
        <v>17408.397407881286</v>
      </c>
      <c r="F18" s="141">
        <f t="shared" si="4"/>
        <v>3110063.794063916</v>
      </c>
    </row>
    <row r="19" spans="1:6" x14ac:dyDescent="0.2">
      <c r="A19" s="146">
        <v>6</v>
      </c>
      <c r="B19" s="141">
        <f t="shared" si="0"/>
        <v>3110063.794063916</v>
      </c>
      <c r="C19" s="141">
        <f t="shared" si="1"/>
        <v>13787.949487016695</v>
      </c>
      <c r="D19" s="141">
        <f t="shared" si="2"/>
        <v>3620.4479208645917</v>
      </c>
      <c r="E19" s="141">
        <f t="shared" si="3"/>
        <v>17408.397407881286</v>
      </c>
      <c r="F19" s="141">
        <f t="shared" si="4"/>
        <v>3106443.3461430515</v>
      </c>
    </row>
    <row r="20" spans="1:6" x14ac:dyDescent="0.2">
      <c r="A20" s="146">
        <v>7</v>
      </c>
      <c r="B20" s="141">
        <f t="shared" si="0"/>
        <v>3106443.3461430515</v>
      </c>
      <c r="C20" s="141">
        <f t="shared" si="1"/>
        <v>13771.898834567528</v>
      </c>
      <c r="D20" s="141">
        <f t="shared" si="2"/>
        <v>3636.4985733137582</v>
      </c>
      <c r="E20" s="141">
        <f t="shared" si="3"/>
        <v>17408.397407881286</v>
      </c>
      <c r="F20" s="141">
        <f t="shared" si="4"/>
        <v>3102806.8475697376</v>
      </c>
    </row>
    <row r="21" spans="1:6" x14ac:dyDescent="0.2">
      <c r="A21" s="146">
        <v>8</v>
      </c>
      <c r="B21" s="141">
        <f t="shared" si="0"/>
        <v>3102806.8475697376</v>
      </c>
      <c r="C21" s="141">
        <f t="shared" si="1"/>
        <v>13755.777024225838</v>
      </c>
      <c r="D21" s="141">
        <f t="shared" si="2"/>
        <v>3652.6203836554487</v>
      </c>
      <c r="E21" s="141">
        <f t="shared" si="3"/>
        <v>17408.397407881286</v>
      </c>
      <c r="F21" s="141">
        <f t="shared" si="4"/>
        <v>3099154.2271860819</v>
      </c>
    </row>
    <row r="22" spans="1:6" x14ac:dyDescent="0.2">
      <c r="A22" s="146">
        <v>9</v>
      </c>
      <c r="B22" s="141">
        <f t="shared" si="0"/>
        <v>3099154.2271860819</v>
      </c>
      <c r="C22" s="141">
        <f t="shared" si="1"/>
        <v>13739.583740524964</v>
      </c>
      <c r="D22" s="141">
        <f t="shared" si="2"/>
        <v>3668.8136673563222</v>
      </c>
      <c r="E22" s="141">
        <f t="shared" si="3"/>
        <v>17408.397407881286</v>
      </c>
      <c r="F22" s="141">
        <f t="shared" si="4"/>
        <v>3095485.4135187254</v>
      </c>
    </row>
    <row r="23" spans="1:6" x14ac:dyDescent="0.2">
      <c r="A23" s="146">
        <v>10</v>
      </c>
      <c r="B23" s="141">
        <f t="shared" si="0"/>
        <v>3095485.4135187254</v>
      </c>
      <c r="C23" s="141">
        <f t="shared" si="1"/>
        <v>13723.318666599684</v>
      </c>
      <c r="D23" s="141">
        <f t="shared" si="2"/>
        <v>3685.0787412816026</v>
      </c>
      <c r="E23" s="141">
        <f t="shared" si="3"/>
        <v>17408.397407881286</v>
      </c>
      <c r="F23" s="141">
        <f t="shared" si="4"/>
        <v>3091800.3347774437</v>
      </c>
    </row>
    <row r="24" spans="1:6" x14ac:dyDescent="0.2">
      <c r="A24" s="146">
        <v>11</v>
      </c>
      <c r="B24" s="141">
        <f t="shared" si="0"/>
        <v>3091800.3347774437</v>
      </c>
      <c r="C24" s="141">
        <f t="shared" si="1"/>
        <v>13706.98148418</v>
      </c>
      <c r="D24" s="141">
        <f t="shared" si="2"/>
        <v>3701.4159237012864</v>
      </c>
      <c r="E24" s="141">
        <f t="shared" si="3"/>
        <v>17408.397407881286</v>
      </c>
      <c r="F24" s="141">
        <f t="shared" si="4"/>
        <v>3088098.9188537425</v>
      </c>
    </row>
    <row r="25" spans="1:6" x14ac:dyDescent="0.2">
      <c r="A25" s="146">
        <v>12</v>
      </c>
      <c r="B25" s="141">
        <f t="shared" si="0"/>
        <v>3088098.9188537425</v>
      </c>
      <c r="C25" s="141">
        <f t="shared" si="1"/>
        <v>13690.571873584926</v>
      </c>
      <c r="D25" s="141">
        <f t="shared" si="2"/>
        <v>3717.8255342963603</v>
      </c>
      <c r="E25" s="141">
        <f t="shared" si="3"/>
        <v>17408.397407881286</v>
      </c>
      <c r="F25" s="141">
        <f t="shared" si="4"/>
        <v>3084381.0933194463</v>
      </c>
    </row>
    <row r="26" spans="1:6" x14ac:dyDescent="0.2">
      <c r="A26" s="146">
        <v>13</v>
      </c>
      <c r="B26" s="141">
        <f t="shared" si="0"/>
        <v>3084381.0933194463</v>
      </c>
      <c r="C26" s="141">
        <f t="shared" si="1"/>
        <v>13674.089513716212</v>
      </c>
      <c r="D26" s="141">
        <f t="shared" si="2"/>
        <v>3734.3078941650747</v>
      </c>
      <c r="E26" s="141">
        <f t="shared" si="3"/>
        <v>17408.397407881286</v>
      </c>
      <c r="F26" s="141">
        <f t="shared" si="4"/>
        <v>3080646.7854252812</v>
      </c>
    </row>
    <row r="27" spans="1:6" x14ac:dyDescent="0.2">
      <c r="A27" s="146">
        <v>14</v>
      </c>
      <c r="B27" s="141">
        <f t="shared" si="0"/>
        <v>3080646.7854252812</v>
      </c>
      <c r="C27" s="141">
        <f t="shared" si="1"/>
        <v>13657.53408205208</v>
      </c>
      <c r="D27" s="141">
        <f t="shared" si="2"/>
        <v>3750.8633258292066</v>
      </c>
      <c r="E27" s="141">
        <f t="shared" si="3"/>
        <v>17408.397407881286</v>
      </c>
      <c r="F27" s="141">
        <f t="shared" si="4"/>
        <v>3076895.922099452</v>
      </c>
    </row>
    <row r="28" spans="1:6" x14ac:dyDescent="0.2">
      <c r="A28" s="146">
        <v>15</v>
      </c>
      <c r="B28" s="141">
        <f t="shared" si="0"/>
        <v>3076895.922099452</v>
      </c>
      <c r="C28" s="141">
        <f t="shared" si="1"/>
        <v>13640.905254640904</v>
      </c>
      <c r="D28" s="141">
        <f t="shared" si="2"/>
        <v>3767.4921532403823</v>
      </c>
      <c r="E28" s="141">
        <f t="shared" si="3"/>
        <v>17408.397407881286</v>
      </c>
      <c r="F28" s="141">
        <f t="shared" si="4"/>
        <v>3073128.4299462116</v>
      </c>
    </row>
    <row r="29" spans="1:6" x14ac:dyDescent="0.2">
      <c r="A29" s="146">
        <v>16</v>
      </c>
      <c r="B29" s="141">
        <f t="shared" si="0"/>
        <v>3073128.4299462116</v>
      </c>
      <c r="C29" s="141">
        <f t="shared" si="1"/>
        <v>13624.202706094871</v>
      </c>
      <c r="D29" s="141">
        <f t="shared" si="2"/>
        <v>3784.194701786415</v>
      </c>
      <c r="E29" s="141">
        <f t="shared" si="3"/>
        <v>17408.397407881286</v>
      </c>
      <c r="F29" s="141">
        <f t="shared" si="4"/>
        <v>3069344.235244425</v>
      </c>
    </row>
    <row r="30" spans="1:6" x14ac:dyDescent="0.2">
      <c r="A30" s="146">
        <v>17</v>
      </c>
      <c r="B30" s="141">
        <f t="shared" si="0"/>
        <v>3069344.235244425</v>
      </c>
      <c r="C30" s="141">
        <f t="shared" si="1"/>
        <v>13607.426109583617</v>
      </c>
      <c r="D30" s="141">
        <f t="shared" si="2"/>
        <v>3800.9712982976689</v>
      </c>
      <c r="E30" s="141">
        <f t="shared" si="3"/>
        <v>17408.397407881286</v>
      </c>
      <c r="F30" s="141">
        <f t="shared" si="4"/>
        <v>3065543.2639461271</v>
      </c>
    </row>
    <row r="31" spans="1:6" x14ac:dyDescent="0.2">
      <c r="A31" s="146">
        <v>18</v>
      </c>
      <c r="B31" s="141">
        <f t="shared" si="0"/>
        <v>3065543.2639461271</v>
      </c>
      <c r="C31" s="141">
        <f t="shared" si="1"/>
        <v>13590.575136827831</v>
      </c>
      <c r="D31" s="141">
        <f t="shared" si="2"/>
        <v>3817.8222710534556</v>
      </c>
      <c r="E31" s="141">
        <f t="shared" si="3"/>
        <v>17408.397407881286</v>
      </c>
      <c r="F31" s="141">
        <f t="shared" si="4"/>
        <v>3061725.4416750735</v>
      </c>
    </row>
    <row r="32" spans="1:6" x14ac:dyDescent="0.2">
      <c r="A32" s="146">
        <v>19</v>
      </c>
      <c r="B32" s="141">
        <f t="shared" si="0"/>
        <v>3061725.4416750735</v>
      </c>
      <c r="C32" s="141">
        <f t="shared" si="1"/>
        <v>13573.649458092827</v>
      </c>
      <c r="D32" s="141">
        <f t="shared" si="2"/>
        <v>3834.7479497884597</v>
      </c>
      <c r="E32" s="141">
        <f t="shared" si="3"/>
        <v>17408.397407881286</v>
      </c>
      <c r="F32" s="141">
        <f t="shared" si="4"/>
        <v>3057890.6937252851</v>
      </c>
    </row>
    <row r="33" spans="1:6" x14ac:dyDescent="0.2">
      <c r="A33" s="146">
        <v>20</v>
      </c>
      <c r="B33" s="141">
        <f t="shared" si="0"/>
        <v>3057890.6937252851</v>
      </c>
      <c r="C33" s="141">
        <f t="shared" si="1"/>
        <v>13556.648742182098</v>
      </c>
      <c r="D33" s="141">
        <f t="shared" si="2"/>
        <v>3851.7486656991878</v>
      </c>
      <c r="E33" s="141">
        <f t="shared" si="3"/>
        <v>17408.397407881286</v>
      </c>
      <c r="F33" s="141">
        <f t="shared" si="4"/>
        <v>3054038.9450595859</v>
      </c>
    </row>
    <row r="34" spans="1:6" x14ac:dyDescent="0.2">
      <c r="A34" s="146">
        <v>21</v>
      </c>
      <c r="B34" s="141">
        <f t="shared" si="0"/>
        <v>3054038.9450595859</v>
      </c>
      <c r="C34" s="141">
        <f t="shared" si="1"/>
        <v>13539.572656430832</v>
      </c>
      <c r="D34" s="141">
        <f t="shared" si="2"/>
        <v>3868.8247514504546</v>
      </c>
      <c r="E34" s="141">
        <f t="shared" si="3"/>
        <v>17408.397407881286</v>
      </c>
      <c r="F34" s="141">
        <f t="shared" si="4"/>
        <v>3050170.1203081352</v>
      </c>
    </row>
    <row r="35" spans="1:6" x14ac:dyDescent="0.2">
      <c r="A35" s="146">
        <v>22</v>
      </c>
      <c r="B35" s="141">
        <f t="shared" si="0"/>
        <v>3050170.1203081352</v>
      </c>
      <c r="C35" s="141">
        <f t="shared" si="1"/>
        <v>13522.4208666994</v>
      </c>
      <c r="D35" s="141">
        <f t="shared" si="2"/>
        <v>3885.9765411818862</v>
      </c>
      <c r="E35" s="141">
        <f t="shared" si="3"/>
        <v>17408.397407881286</v>
      </c>
      <c r="F35" s="141">
        <f t="shared" si="4"/>
        <v>3046284.1437669531</v>
      </c>
    </row>
    <row r="36" spans="1:6" x14ac:dyDescent="0.2">
      <c r="A36" s="146">
        <v>23</v>
      </c>
      <c r="B36" s="141">
        <f t="shared" si="0"/>
        <v>3046284.1437669531</v>
      </c>
      <c r="C36" s="141">
        <f t="shared" si="1"/>
        <v>13505.193037366826</v>
      </c>
      <c r="D36" s="141">
        <f t="shared" si="2"/>
        <v>3903.2043705144606</v>
      </c>
      <c r="E36" s="141">
        <f t="shared" si="3"/>
        <v>17408.397407881286</v>
      </c>
      <c r="F36" s="141">
        <f t="shared" si="4"/>
        <v>3042380.9393964387</v>
      </c>
    </row>
    <row r="37" spans="1:6" x14ac:dyDescent="0.2">
      <c r="A37" s="146">
        <v>24</v>
      </c>
      <c r="B37" s="141">
        <f t="shared" si="0"/>
        <v>3042380.9393964387</v>
      </c>
      <c r="C37" s="141">
        <f t="shared" si="1"/>
        <v>13487.888831324211</v>
      </c>
      <c r="D37" s="141">
        <f t="shared" si="2"/>
        <v>3920.5085765570748</v>
      </c>
      <c r="E37" s="141">
        <f t="shared" si="3"/>
        <v>17408.397407881286</v>
      </c>
      <c r="F37" s="141">
        <f t="shared" si="4"/>
        <v>3038460.4308198816</v>
      </c>
    </row>
    <row r="38" spans="1:6" x14ac:dyDescent="0.2">
      <c r="A38" s="146">
        <v>25</v>
      </c>
      <c r="B38" s="141">
        <f t="shared" si="0"/>
        <v>3038460.4308198816</v>
      </c>
      <c r="C38" s="141">
        <f t="shared" si="1"/>
        <v>13470.507909968142</v>
      </c>
      <c r="D38" s="141">
        <f t="shared" si="2"/>
        <v>3937.8894979131437</v>
      </c>
      <c r="E38" s="141">
        <f t="shared" si="3"/>
        <v>17408.397407881286</v>
      </c>
      <c r="F38" s="141">
        <f t="shared" si="4"/>
        <v>3034522.5413219687</v>
      </c>
    </row>
    <row r="39" spans="1:6" x14ac:dyDescent="0.2">
      <c r="A39" s="146">
        <v>26</v>
      </c>
      <c r="B39" s="141">
        <f t="shared" si="0"/>
        <v>3034522.5413219687</v>
      </c>
      <c r="C39" s="141">
        <f t="shared" si="1"/>
        <v>13453.049933194061</v>
      </c>
      <c r="D39" s="141">
        <f t="shared" si="2"/>
        <v>3955.3474746872253</v>
      </c>
      <c r="E39" s="141">
        <f t="shared" si="3"/>
        <v>17408.397407881286</v>
      </c>
      <c r="F39" s="141">
        <f t="shared" si="4"/>
        <v>3030567.1938472814</v>
      </c>
    </row>
    <row r="40" spans="1:6" x14ac:dyDescent="0.2">
      <c r="A40" s="146">
        <v>27</v>
      </c>
      <c r="B40" s="141">
        <f t="shared" si="0"/>
        <v>3030567.1938472814</v>
      </c>
      <c r="C40" s="141">
        <f t="shared" si="1"/>
        <v>13435.514559389614</v>
      </c>
      <c r="D40" s="141">
        <f t="shared" si="2"/>
        <v>3972.8828484916721</v>
      </c>
      <c r="E40" s="141">
        <f t="shared" si="3"/>
        <v>17408.397407881286</v>
      </c>
      <c r="F40" s="141">
        <f t="shared" si="4"/>
        <v>3026594.3109987895</v>
      </c>
    </row>
    <row r="41" spans="1:6" x14ac:dyDescent="0.2">
      <c r="A41" s="146">
        <v>28</v>
      </c>
      <c r="B41" s="141">
        <f t="shared" si="0"/>
        <v>3026594.3109987895</v>
      </c>
      <c r="C41" s="141">
        <f t="shared" si="1"/>
        <v>13417.901445427968</v>
      </c>
      <c r="D41" s="141">
        <f t="shared" si="2"/>
        <v>3990.4959624533185</v>
      </c>
      <c r="E41" s="141">
        <f t="shared" si="3"/>
        <v>17408.397407881286</v>
      </c>
      <c r="F41" s="141">
        <f t="shared" si="4"/>
        <v>3022603.815036336</v>
      </c>
    </row>
    <row r="42" spans="1:6" x14ac:dyDescent="0.2">
      <c r="A42" s="146">
        <v>29</v>
      </c>
      <c r="B42" s="141">
        <f t="shared" si="0"/>
        <v>3022603.815036336</v>
      </c>
      <c r="C42" s="141">
        <f t="shared" si="1"/>
        <v>13400.21024666109</v>
      </c>
      <c r="D42" s="141">
        <f t="shared" si="2"/>
        <v>4008.1871612201958</v>
      </c>
      <c r="E42" s="141">
        <f t="shared" si="3"/>
        <v>17408.397407881286</v>
      </c>
      <c r="F42" s="141">
        <f t="shared" si="4"/>
        <v>3018595.6278751157</v>
      </c>
    </row>
    <row r="43" spans="1:6" x14ac:dyDescent="0.2">
      <c r="A43" s="146">
        <v>30</v>
      </c>
      <c r="B43" s="141">
        <f t="shared" si="0"/>
        <v>3018595.6278751157</v>
      </c>
      <c r="C43" s="141">
        <f t="shared" si="1"/>
        <v>13382.440616913012</v>
      </c>
      <c r="D43" s="141">
        <f t="shared" si="2"/>
        <v>4025.9567909682737</v>
      </c>
      <c r="E43" s="141">
        <f t="shared" si="3"/>
        <v>17408.397407881286</v>
      </c>
      <c r="F43" s="141">
        <f t="shared" si="4"/>
        <v>3014569.6710841474</v>
      </c>
    </row>
    <row r="44" spans="1:6" x14ac:dyDescent="0.2">
      <c r="A44" s="146">
        <v>31</v>
      </c>
      <c r="B44" s="141">
        <f t="shared" si="0"/>
        <v>3014569.6710841474</v>
      </c>
      <c r="C44" s="141">
        <f t="shared" si="1"/>
        <v>13364.592208473054</v>
      </c>
      <c r="D44" s="141">
        <f t="shared" si="2"/>
        <v>4043.8051994082325</v>
      </c>
      <c r="E44" s="141">
        <f t="shared" si="3"/>
        <v>17408.397407881286</v>
      </c>
      <c r="F44" s="141">
        <f t="shared" si="4"/>
        <v>3010525.865884739</v>
      </c>
    </row>
    <row r="45" spans="1:6" x14ac:dyDescent="0.2">
      <c r="A45" s="146">
        <v>32</v>
      </c>
      <c r="B45" s="141">
        <f t="shared" si="0"/>
        <v>3010525.865884739</v>
      </c>
      <c r="C45" s="141">
        <f t="shared" si="1"/>
        <v>13346.664672089009</v>
      </c>
      <c r="D45" s="141">
        <f t="shared" si="2"/>
        <v>4061.7327357922768</v>
      </c>
      <c r="E45" s="141">
        <f t="shared" si="3"/>
        <v>17408.397407881286</v>
      </c>
      <c r="F45" s="141">
        <f t="shared" si="4"/>
        <v>3006464.1331489468</v>
      </c>
    </row>
    <row r="46" spans="1:6" x14ac:dyDescent="0.2">
      <c r="A46" s="146">
        <v>33</v>
      </c>
      <c r="B46" s="141">
        <f t="shared" si="0"/>
        <v>3006464.1331489468</v>
      </c>
      <c r="C46" s="141">
        <f t="shared" si="1"/>
        <v>13328.657656960331</v>
      </c>
      <c r="D46" s="141">
        <f t="shared" si="2"/>
        <v>4079.739750920955</v>
      </c>
      <c r="E46" s="141">
        <f t="shared" si="3"/>
        <v>17408.397407881286</v>
      </c>
      <c r="F46" s="141">
        <f t="shared" si="4"/>
        <v>3002384.393398026</v>
      </c>
    </row>
    <row r="47" spans="1:6" x14ac:dyDescent="0.2">
      <c r="A47" s="146">
        <v>34</v>
      </c>
      <c r="B47" s="141">
        <f t="shared" si="0"/>
        <v>3002384.393398026</v>
      </c>
      <c r="C47" s="141">
        <f t="shared" si="1"/>
        <v>13310.570810731249</v>
      </c>
      <c r="D47" s="141">
        <f t="shared" si="2"/>
        <v>4097.8265971500368</v>
      </c>
      <c r="E47" s="141">
        <f t="shared" si="3"/>
        <v>17408.397407881286</v>
      </c>
      <c r="F47" s="141">
        <f t="shared" si="4"/>
        <v>2998286.5668008761</v>
      </c>
    </row>
    <row r="48" spans="1:6" x14ac:dyDescent="0.2">
      <c r="A48" s="146">
        <v>35</v>
      </c>
      <c r="B48" s="141">
        <f t="shared" si="0"/>
        <v>2998286.5668008761</v>
      </c>
      <c r="C48" s="141">
        <f t="shared" si="1"/>
        <v>13292.403779483884</v>
      </c>
      <c r="D48" s="141">
        <f t="shared" si="2"/>
        <v>4115.9936283974021</v>
      </c>
      <c r="E48" s="141">
        <f t="shared" si="3"/>
        <v>17408.397407881286</v>
      </c>
      <c r="F48" s="141">
        <f t="shared" si="4"/>
        <v>2994170.5731724785</v>
      </c>
    </row>
    <row r="49" spans="1:6" x14ac:dyDescent="0.2">
      <c r="A49" s="146">
        <v>36</v>
      </c>
      <c r="B49" s="141">
        <f t="shared" si="0"/>
        <v>2994170.5731724785</v>
      </c>
      <c r="C49" s="141">
        <f t="shared" si="1"/>
        <v>13274.156207731321</v>
      </c>
      <c r="D49" s="141">
        <f t="shared" si="2"/>
        <v>4134.2412001499652</v>
      </c>
      <c r="E49" s="141">
        <f t="shared" si="3"/>
        <v>17408.397407881286</v>
      </c>
      <c r="F49" s="141">
        <f t="shared" si="4"/>
        <v>2990036.3319723285</v>
      </c>
    </row>
    <row r="50" spans="1:6" x14ac:dyDescent="0.2">
      <c r="A50" s="146">
        <v>37</v>
      </c>
      <c r="B50" s="141">
        <f t="shared" si="0"/>
        <v>2990036.3319723285</v>
      </c>
      <c r="C50" s="141">
        <f t="shared" si="1"/>
        <v>13255.827738410657</v>
      </c>
      <c r="D50" s="141">
        <f t="shared" si="2"/>
        <v>4152.5696694706294</v>
      </c>
      <c r="E50" s="141">
        <f t="shared" si="3"/>
        <v>17408.397407881286</v>
      </c>
      <c r="F50" s="141">
        <f t="shared" si="4"/>
        <v>2985883.7623028578</v>
      </c>
    </row>
    <row r="51" spans="1:6" x14ac:dyDescent="0.2">
      <c r="A51" s="146">
        <v>38</v>
      </c>
      <c r="B51" s="141">
        <f t="shared" si="0"/>
        <v>2985883.7623028578</v>
      </c>
      <c r="C51" s="141">
        <f t="shared" si="1"/>
        <v>13237.418012876004</v>
      </c>
      <c r="D51" s="141">
        <f t="shared" si="2"/>
        <v>4170.9793950052826</v>
      </c>
      <c r="E51" s="141">
        <f t="shared" si="3"/>
        <v>17408.397407881286</v>
      </c>
      <c r="F51" s="141">
        <f t="shared" si="4"/>
        <v>2981712.7829078524</v>
      </c>
    </row>
    <row r="52" spans="1:6" x14ac:dyDescent="0.2">
      <c r="A52" s="146">
        <v>39</v>
      </c>
      <c r="B52" s="141">
        <f t="shared" si="0"/>
        <v>2981712.7829078524</v>
      </c>
      <c r="C52" s="141">
        <f t="shared" si="1"/>
        <v>13218.92667089148</v>
      </c>
      <c r="D52" s="141">
        <f t="shared" si="2"/>
        <v>4189.470736989806</v>
      </c>
      <c r="E52" s="141">
        <f t="shared" si="3"/>
        <v>17408.397407881286</v>
      </c>
      <c r="F52" s="141">
        <f t="shared" si="4"/>
        <v>2977523.3121708627</v>
      </c>
    </row>
    <row r="53" spans="1:6" x14ac:dyDescent="0.2">
      <c r="A53" s="146">
        <v>40</v>
      </c>
      <c r="B53" s="141">
        <f t="shared" si="0"/>
        <v>2977523.3121708627</v>
      </c>
      <c r="C53" s="141">
        <f t="shared" si="1"/>
        <v>13200.353350624158</v>
      </c>
      <c r="D53" s="141">
        <f t="shared" si="2"/>
        <v>4208.0440572571279</v>
      </c>
      <c r="E53" s="141">
        <f t="shared" si="3"/>
        <v>17408.397407881286</v>
      </c>
      <c r="F53" s="141">
        <f t="shared" si="4"/>
        <v>2973315.2681136057</v>
      </c>
    </row>
    <row r="54" spans="1:6" x14ac:dyDescent="0.2">
      <c r="A54" s="146">
        <v>41</v>
      </c>
      <c r="B54" s="141">
        <f t="shared" si="0"/>
        <v>2973315.2681136057</v>
      </c>
      <c r="C54" s="141">
        <f t="shared" si="1"/>
        <v>13181.697688636985</v>
      </c>
      <c r="D54" s="141">
        <f t="shared" si="2"/>
        <v>4226.6997192443014</v>
      </c>
      <c r="E54" s="141">
        <f t="shared" si="3"/>
        <v>17408.397407881286</v>
      </c>
      <c r="F54" s="141">
        <f t="shared" si="4"/>
        <v>2969088.5683943615</v>
      </c>
    </row>
    <row r="55" spans="1:6" x14ac:dyDescent="0.2">
      <c r="A55" s="146">
        <v>42</v>
      </c>
      <c r="B55" s="141">
        <f t="shared" si="0"/>
        <v>2969088.5683943615</v>
      </c>
      <c r="C55" s="141">
        <f t="shared" si="1"/>
        <v>13162.959319881669</v>
      </c>
      <c r="D55" s="141">
        <f t="shared" si="2"/>
        <v>4245.438087999617</v>
      </c>
      <c r="E55" s="141">
        <f t="shared" si="3"/>
        <v>17408.397407881286</v>
      </c>
      <c r="F55" s="141">
        <f t="shared" si="4"/>
        <v>2964843.1303063617</v>
      </c>
    </row>
    <row r="56" spans="1:6" x14ac:dyDescent="0.2">
      <c r="A56" s="146">
        <v>43</v>
      </c>
      <c r="B56" s="141">
        <f t="shared" si="0"/>
        <v>2964843.1303063617</v>
      </c>
      <c r="C56" s="141">
        <f t="shared" si="1"/>
        <v>13144.137877691537</v>
      </c>
      <c r="D56" s="141">
        <f t="shared" si="2"/>
        <v>4264.2595301897491</v>
      </c>
      <c r="E56" s="141">
        <f t="shared" si="3"/>
        <v>17408.397407881286</v>
      </c>
      <c r="F56" s="141">
        <f t="shared" si="4"/>
        <v>2960578.8707761718</v>
      </c>
    </row>
    <row r="57" spans="1:6" x14ac:dyDescent="0.2">
      <c r="A57" s="146">
        <v>44</v>
      </c>
      <c r="B57" s="141">
        <f t="shared" si="0"/>
        <v>2960578.8707761718</v>
      </c>
      <c r="C57" s="141">
        <f t="shared" si="1"/>
        <v>13125.232993774362</v>
      </c>
      <c r="D57" s="141">
        <f t="shared" si="2"/>
        <v>4283.1644141069246</v>
      </c>
      <c r="E57" s="141">
        <f t="shared" si="3"/>
        <v>17408.397407881286</v>
      </c>
      <c r="F57" s="141">
        <f t="shared" si="4"/>
        <v>2956295.7063620649</v>
      </c>
    </row>
    <row r="58" spans="1:6" x14ac:dyDescent="0.2">
      <c r="A58" s="146">
        <v>45</v>
      </c>
      <c r="B58" s="141">
        <f t="shared" si="0"/>
        <v>2956295.7063620649</v>
      </c>
      <c r="C58" s="141">
        <f t="shared" si="1"/>
        <v>13106.244298205154</v>
      </c>
      <c r="D58" s="141">
        <f t="shared" si="2"/>
        <v>4302.1531096761319</v>
      </c>
      <c r="E58" s="141">
        <f t="shared" si="3"/>
        <v>17408.397407881286</v>
      </c>
      <c r="F58" s="141">
        <f t="shared" si="4"/>
        <v>2951993.5532523887</v>
      </c>
    </row>
    <row r="59" spans="1:6" x14ac:dyDescent="0.2">
      <c r="A59" s="146">
        <v>46</v>
      </c>
      <c r="B59" s="141">
        <f t="shared" si="0"/>
        <v>2951993.5532523887</v>
      </c>
      <c r="C59" s="141">
        <f t="shared" si="1"/>
        <v>13087.171419418924</v>
      </c>
      <c r="D59" s="141">
        <f t="shared" si="2"/>
        <v>4321.2259884623618</v>
      </c>
      <c r="E59" s="141">
        <f t="shared" si="3"/>
        <v>17408.397407881286</v>
      </c>
      <c r="F59" s="141">
        <f t="shared" si="4"/>
        <v>2947672.3272639262</v>
      </c>
    </row>
    <row r="60" spans="1:6" x14ac:dyDescent="0.2">
      <c r="A60" s="146">
        <v>47</v>
      </c>
      <c r="B60" s="141">
        <f t="shared" si="0"/>
        <v>2947672.3272639262</v>
      </c>
      <c r="C60" s="141">
        <f t="shared" si="1"/>
        <v>13068.013984203406</v>
      </c>
      <c r="D60" s="141">
        <f t="shared" si="2"/>
        <v>4340.3834236778803</v>
      </c>
      <c r="E60" s="141">
        <f t="shared" si="3"/>
        <v>17408.397407881286</v>
      </c>
      <c r="F60" s="141">
        <f t="shared" si="4"/>
        <v>2943331.943840248</v>
      </c>
    </row>
    <row r="61" spans="1:6" x14ac:dyDescent="0.2">
      <c r="A61" s="146">
        <v>48</v>
      </c>
      <c r="B61" s="141">
        <f t="shared" si="0"/>
        <v>2943331.943840248</v>
      </c>
      <c r="C61" s="141">
        <f t="shared" si="1"/>
        <v>13048.771617691766</v>
      </c>
      <c r="D61" s="141">
        <f t="shared" si="2"/>
        <v>4359.6257901895206</v>
      </c>
      <c r="E61" s="141">
        <f t="shared" si="3"/>
        <v>17408.397407881286</v>
      </c>
      <c r="F61" s="141">
        <f t="shared" si="4"/>
        <v>2938972.3180500586</v>
      </c>
    </row>
    <row r="62" spans="1:6" x14ac:dyDescent="0.2">
      <c r="A62" s="146">
        <v>49</v>
      </c>
      <c r="B62" s="141">
        <f t="shared" si="0"/>
        <v>2938972.3180500586</v>
      </c>
      <c r="C62" s="141">
        <f t="shared" si="1"/>
        <v>13029.44394335526</v>
      </c>
      <c r="D62" s="141">
        <f t="shared" si="2"/>
        <v>4378.9534645260264</v>
      </c>
      <c r="E62" s="141">
        <f t="shared" si="3"/>
        <v>17408.397407881286</v>
      </c>
      <c r="F62" s="141">
        <f t="shared" si="4"/>
        <v>2934593.3645855323</v>
      </c>
    </row>
    <row r="63" spans="1:6" x14ac:dyDescent="0.2">
      <c r="A63" s="146">
        <v>50</v>
      </c>
      <c r="B63" s="141">
        <f t="shared" si="0"/>
        <v>2934593.3645855323</v>
      </c>
      <c r="C63" s="141">
        <f t="shared" si="1"/>
        <v>13010.03058299586</v>
      </c>
      <c r="D63" s="141">
        <f t="shared" si="2"/>
        <v>4398.3668248854265</v>
      </c>
      <c r="E63" s="141">
        <f t="shared" si="3"/>
        <v>17408.397407881286</v>
      </c>
      <c r="F63" s="141">
        <f t="shared" si="4"/>
        <v>2930194.997760647</v>
      </c>
    </row>
    <row r="64" spans="1:6" x14ac:dyDescent="0.2">
      <c r="A64" s="146">
        <v>51</v>
      </c>
      <c r="B64" s="141">
        <f t="shared" si="0"/>
        <v>2930194.997760647</v>
      </c>
      <c r="C64" s="141">
        <f t="shared" si="1"/>
        <v>12990.531156738869</v>
      </c>
      <c r="D64" s="141">
        <f t="shared" si="2"/>
        <v>4417.8662511424172</v>
      </c>
      <c r="E64" s="141">
        <f t="shared" si="3"/>
        <v>17408.397407881286</v>
      </c>
      <c r="F64" s="141">
        <f t="shared" si="4"/>
        <v>2925777.1315095047</v>
      </c>
    </row>
    <row r="65" spans="1:6" x14ac:dyDescent="0.2">
      <c r="A65" s="146">
        <v>52</v>
      </c>
      <c r="B65" s="141">
        <f t="shared" si="0"/>
        <v>2925777.1315095047</v>
      </c>
      <c r="C65" s="141">
        <f t="shared" si="1"/>
        <v>12970.94528302547</v>
      </c>
      <c r="D65" s="141">
        <f t="shared" si="2"/>
        <v>4437.4521248558158</v>
      </c>
      <c r="E65" s="141">
        <f t="shared" si="3"/>
        <v>17408.397407881286</v>
      </c>
      <c r="F65" s="141">
        <f t="shared" si="4"/>
        <v>2921339.6793846488</v>
      </c>
    </row>
    <row r="66" spans="1:6" x14ac:dyDescent="0.2">
      <c r="A66" s="146">
        <v>53</v>
      </c>
      <c r="B66" s="141">
        <f t="shared" si="0"/>
        <v>2921339.6793846488</v>
      </c>
      <c r="C66" s="141">
        <f t="shared" si="1"/>
        <v>12951.272578605276</v>
      </c>
      <c r="D66" s="141">
        <f t="shared" si="2"/>
        <v>4457.1248292760101</v>
      </c>
      <c r="E66" s="141">
        <f t="shared" si="3"/>
        <v>17408.397407881286</v>
      </c>
      <c r="F66" s="141">
        <f t="shared" si="4"/>
        <v>2916882.5545553728</v>
      </c>
    </row>
    <row r="67" spans="1:6" x14ac:dyDescent="0.2">
      <c r="A67" s="146">
        <v>54</v>
      </c>
      <c r="B67" s="141">
        <f t="shared" si="0"/>
        <v>2916882.5545553728</v>
      </c>
      <c r="C67" s="141">
        <f t="shared" si="1"/>
        <v>12931.51265852882</v>
      </c>
      <c r="D67" s="141">
        <f t="shared" si="2"/>
        <v>4476.8847493524663</v>
      </c>
      <c r="E67" s="141">
        <f t="shared" si="3"/>
        <v>17408.397407881286</v>
      </c>
      <c r="F67" s="141">
        <f t="shared" si="4"/>
        <v>2912405.6698060203</v>
      </c>
    </row>
    <row r="68" spans="1:6" x14ac:dyDescent="0.2">
      <c r="A68" s="146">
        <v>55</v>
      </c>
      <c r="B68" s="141">
        <f t="shared" si="0"/>
        <v>2912405.6698060203</v>
      </c>
      <c r="C68" s="141">
        <f t="shared" si="1"/>
        <v>12911.665136140024</v>
      </c>
      <c r="D68" s="141">
        <f t="shared" si="2"/>
        <v>4496.7322717412626</v>
      </c>
      <c r="E68" s="141">
        <f t="shared" si="3"/>
        <v>17408.397407881286</v>
      </c>
      <c r="F68" s="141">
        <f t="shared" si="4"/>
        <v>2907908.9375342792</v>
      </c>
    </row>
    <row r="69" spans="1:6" x14ac:dyDescent="0.2">
      <c r="A69" s="146">
        <v>56</v>
      </c>
      <c r="B69" s="141">
        <f t="shared" si="0"/>
        <v>2907908.9375342792</v>
      </c>
      <c r="C69" s="141">
        <f t="shared" si="1"/>
        <v>12891.729623068639</v>
      </c>
      <c r="D69" s="141">
        <f t="shared" si="2"/>
        <v>4516.6677848126474</v>
      </c>
      <c r="E69" s="141">
        <f t="shared" si="3"/>
        <v>17408.397407881286</v>
      </c>
      <c r="F69" s="141">
        <f t="shared" si="4"/>
        <v>2903392.2697494663</v>
      </c>
    </row>
    <row r="70" spans="1:6" x14ac:dyDescent="0.2">
      <c r="A70" s="146">
        <v>57</v>
      </c>
      <c r="B70" s="141">
        <f t="shared" si="0"/>
        <v>2903392.2697494663</v>
      </c>
      <c r="C70" s="141">
        <f t="shared" si="1"/>
        <v>12871.705729222635</v>
      </c>
      <c r="D70" s="141">
        <f t="shared" si="2"/>
        <v>4536.6916786586517</v>
      </c>
      <c r="E70" s="141">
        <f t="shared" si="3"/>
        <v>17408.397407881286</v>
      </c>
      <c r="F70" s="141">
        <f t="shared" si="4"/>
        <v>2898855.5780708077</v>
      </c>
    </row>
    <row r="71" spans="1:6" x14ac:dyDescent="0.2">
      <c r="A71" s="146">
        <v>58</v>
      </c>
      <c r="B71" s="141">
        <f t="shared" si="0"/>
        <v>2898855.5780708077</v>
      </c>
      <c r="C71" s="141">
        <f t="shared" si="1"/>
        <v>12851.593062780581</v>
      </c>
      <c r="D71" s="141">
        <f t="shared" si="2"/>
        <v>4556.8043451007052</v>
      </c>
      <c r="E71" s="141">
        <f t="shared" si="3"/>
        <v>17408.397407881286</v>
      </c>
      <c r="F71" s="141">
        <f t="shared" si="4"/>
        <v>2894298.7737257071</v>
      </c>
    </row>
    <row r="72" spans="1:6" x14ac:dyDescent="0.2">
      <c r="A72" s="146">
        <v>59</v>
      </c>
      <c r="B72" s="141">
        <f t="shared" si="0"/>
        <v>2894298.7737257071</v>
      </c>
      <c r="C72" s="141">
        <f t="shared" si="1"/>
        <v>12831.391230183968</v>
      </c>
      <c r="D72" s="141">
        <f t="shared" si="2"/>
        <v>4577.006177697318</v>
      </c>
      <c r="E72" s="141">
        <f t="shared" si="3"/>
        <v>17408.397407881286</v>
      </c>
      <c r="F72" s="141">
        <f t="shared" si="4"/>
        <v>2889721.7675480098</v>
      </c>
    </row>
    <row r="73" spans="1:6" x14ac:dyDescent="0.2">
      <c r="A73" s="146">
        <v>60</v>
      </c>
      <c r="B73" s="141">
        <f t="shared" si="0"/>
        <v>2889721.7675480098</v>
      </c>
      <c r="C73" s="141">
        <f t="shared" si="1"/>
        <v>12811.09983612951</v>
      </c>
      <c r="D73" s="141">
        <f t="shared" si="2"/>
        <v>4597.2975717517766</v>
      </c>
      <c r="E73" s="141">
        <f t="shared" si="3"/>
        <v>17408.397407881286</v>
      </c>
      <c r="F73" s="141">
        <f t="shared" si="4"/>
        <v>2885124.469976258</v>
      </c>
    </row>
    <row r="74" spans="1:6" x14ac:dyDescent="0.2">
      <c r="A74" s="146">
        <v>61</v>
      </c>
      <c r="B74" s="141">
        <f t="shared" si="0"/>
        <v>2885124.469976258</v>
      </c>
      <c r="C74" s="141">
        <f t="shared" si="1"/>
        <v>12790.71848356141</v>
      </c>
      <c r="D74" s="141">
        <f t="shared" si="2"/>
        <v>4617.6789243198764</v>
      </c>
      <c r="E74" s="141">
        <f t="shared" si="3"/>
        <v>17408.397407881286</v>
      </c>
      <c r="F74" s="141">
        <f t="shared" si="4"/>
        <v>2880506.7910519382</v>
      </c>
    </row>
    <row r="75" spans="1:6" x14ac:dyDescent="0.2">
      <c r="A75" s="146">
        <v>62</v>
      </c>
      <c r="B75" s="141">
        <f t="shared" si="0"/>
        <v>2880506.7910519382</v>
      </c>
      <c r="C75" s="141">
        <f t="shared" si="1"/>
        <v>12770.246773663594</v>
      </c>
      <c r="D75" s="141">
        <f t="shared" si="2"/>
        <v>4638.1506342176926</v>
      </c>
      <c r="E75" s="141">
        <f t="shared" si="3"/>
        <v>17408.397407881286</v>
      </c>
      <c r="F75" s="141">
        <f t="shared" si="4"/>
        <v>2875868.6404177207</v>
      </c>
    </row>
    <row r="76" spans="1:6" x14ac:dyDescent="0.2">
      <c r="A76" s="146">
        <v>63</v>
      </c>
      <c r="B76" s="141">
        <f t="shared" si="0"/>
        <v>2875868.6404177207</v>
      </c>
      <c r="C76" s="141">
        <f t="shared" si="1"/>
        <v>12749.684305851895</v>
      </c>
      <c r="D76" s="141">
        <f t="shared" si="2"/>
        <v>4658.7131020293909</v>
      </c>
      <c r="E76" s="141">
        <f t="shared" si="3"/>
        <v>17408.397407881286</v>
      </c>
      <c r="F76" s="141">
        <f t="shared" si="4"/>
        <v>2871209.9273156915</v>
      </c>
    </row>
    <row r="77" spans="1:6" x14ac:dyDescent="0.2">
      <c r="A77" s="146">
        <v>64</v>
      </c>
      <c r="B77" s="141">
        <f t="shared" si="0"/>
        <v>2871209.9273156915</v>
      </c>
      <c r="C77" s="141">
        <f t="shared" si="1"/>
        <v>12729.030677766232</v>
      </c>
      <c r="D77" s="141">
        <f t="shared" si="2"/>
        <v>4679.3667301150545</v>
      </c>
      <c r="E77" s="141">
        <f t="shared" si="3"/>
        <v>17408.397407881286</v>
      </c>
      <c r="F77" s="141">
        <f t="shared" si="4"/>
        <v>2866530.5605855766</v>
      </c>
    </row>
    <row r="78" spans="1:6" x14ac:dyDescent="0.2">
      <c r="A78" s="146">
        <v>65</v>
      </c>
      <c r="B78" s="141">
        <f t="shared" si="0"/>
        <v>2866530.5605855766</v>
      </c>
      <c r="C78" s="141">
        <f t="shared" si="1"/>
        <v>12708.285485262722</v>
      </c>
      <c r="D78" s="141">
        <f t="shared" si="2"/>
        <v>4700.1119226185638</v>
      </c>
      <c r="E78" s="141">
        <f t="shared" si="3"/>
        <v>17408.397407881286</v>
      </c>
      <c r="F78" s="141">
        <f t="shared" si="4"/>
        <v>2861830.4486629581</v>
      </c>
    </row>
    <row r="79" spans="1:6" x14ac:dyDescent="0.2">
      <c r="A79" s="146">
        <v>66</v>
      </c>
      <c r="B79" s="141">
        <f t="shared" si="0"/>
        <v>2861830.4486629581</v>
      </c>
      <c r="C79" s="141">
        <f t="shared" si="1"/>
        <v>12687.44832240578</v>
      </c>
      <c r="D79" s="141">
        <f t="shared" si="2"/>
        <v>4720.9490854755059</v>
      </c>
      <c r="E79" s="141">
        <f t="shared" si="3"/>
        <v>17408.397407881286</v>
      </c>
      <c r="F79" s="141">
        <f t="shared" si="4"/>
        <v>2857109.4995774827</v>
      </c>
    </row>
    <row r="80" spans="1:6" x14ac:dyDescent="0.2">
      <c r="A80" s="146">
        <v>67</v>
      </c>
      <c r="B80" s="141">
        <f t="shared" ref="B80:B143" si="5">F79</f>
        <v>2857109.4995774827</v>
      </c>
      <c r="C80" s="141">
        <f t="shared" ref="C80:C143" si="6">B80*($B$3/12)</f>
        <v>12666.518781460174</v>
      </c>
      <c r="D80" s="141">
        <f t="shared" ref="D80:D143" si="7">E80-C80</f>
        <v>4741.8786264211121</v>
      </c>
      <c r="E80" s="141">
        <f t="shared" ref="E80:E143" si="8">PMT($B$3/12,$B$5*12,-$B$2)</f>
        <v>17408.397407881286</v>
      </c>
      <c r="F80" s="141">
        <f t="shared" ref="F80:F143" si="9">B80-D80</f>
        <v>2852367.6209510616</v>
      </c>
    </row>
    <row r="81" spans="1:6" x14ac:dyDescent="0.2">
      <c r="A81" s="146">
        <v>68</v>
      </c>
      <c r="B81" s="141">
        <f t="shared" si="5"/>
        <v>2852367.6209510616</v>
      </c>
      <c r="C81" s="141">
        <f t="shared" si="6"/>
        <v>12645.496452883041</v>
      </c>
      <c r="D81" s="141">
        <f t="shared" si="7"/>
        <v>4762.9009549982457</v>
      </c>
      <c r="E81" s="141">
        <f t="shared" si="8"/>
        <v>17408.397407881286</v>
      </c>
      <c r="F81" s="141">
        <f t="shared" si="9"/>
        <v>2847604.7199960635</v>
      </c>
    </row>
    <row r="82" spans="1:6" x14ac:dyDescent="0.2">
      <c r="A82" s="146">
        <v>69</v>
      </c>
      <c r="B82" s="141">
        <f t="shared" si="5"/>
        <v>2847604.7199960635</v>
      </c>
      <c r="C82" s="141">
        <f t="shared" si="6"/>
        <v>12624.380925315882</v>
      </c>
      <c r="D82" s="141">
        <f t="shared" si="7"/>
        <v>4784.0164825654047</v>
      </c>
      <c r="E82" s="141">
        <f t="shared" si="8"/>
        <v>17408.397407881286</v>
      </c>
      <c r="F82" s="141">
        <f t="shared" si="9"/>
        <v>2842820.703513498</v>
      </c>
    </row>
    <row r="83" spans="1:6" x14ac:dyDescent="0.2">
      <c r="A83" s="146">
        <v>70</v>
      </c>
      <c r="B83" s="141">
        <f t="shared" si="5"/>
        <v>2842820.703513498</v>
      </c>
      <c r="C83" s="141">
        <f t="shared" si="6"/>
        <v>12603.171785576507</v>
      </c>
      <c r="D83" s="141">
        <f t="shared" si="7"/>
        <v>4805.2256223047789</v>
      </c>
      <c r="E83" s="141">
        <f t="shared" si="8"/>
        <v>17408.397407881286</v>
      </c>
      <c r="F83" s="141">
        <f t="shared" si="9"/>
        <v>2838015.4778911932</v>
      </c>
    </row>
    <row r="84" spans="1:6" x14ac:dyDescent="0.2">
      <c r="A84" s="146">
        <v>71</v>
      </c>
      <c r="B84" s="141">
        <f t="shared" si="5"/>
        <v>2838015.4778911932</v>
      </c>
      <c r="C84" s="141">
        <f t="shared" si="6"/>
        <v>12581.868618650957</v>
      </c>
      <c r="D84" s="141">
        <f t="shared" si="7"/>
        <v>4826.5287892303295</v>
      </c>
      <c r="E84" s="141">
        <f t="shared" si="8"/>
        <v>17408.397407881286</v>
      </c>
      <c r="F84" s="141">
        <f t="shared" si="9"/>
        <v>2833188.9491019631</v>
      </c>
    </row>
    <row r="85" spans="1:6" x14ac:dyDescent="0.2">
      <c r="A85" s="146">
        <v>72</v>
      </c>
      <c r="B85" s="141">
        <f t="shared" si="5"/>
        <v>2833188.9491019631</v>
      </c>
      <c r="C85" s="141">
        <f t="shared" si="6"/>
        <v>12560.47100768537</v>
      </c>
      <c r="D85" s="141">
        <f t="shared" si="7"/>
        <v>4847.9264001959164</v>
      </c>
      <c r="E85" s="141">
        <f t="shared" si="8"/>
        <v>17408.397407881286</v>
      </c>
      <c r="F85" s="141">
        <f t="shared" si="9"/>
        <v>2828341.0227017673</v>
      </c>
    </row>
    <row r="86" spans="1:6" x14ac:dyDescent="0.2">
      <c r="A86" s="146">
        <v>73</v>
      </c>
      <c r="B86" s="141">
        <f t="shared" si="5"/>
        <v>2828341.0227017673</v>
      </c>
      <c r="C86" s="141">
        <f t="shared" si="6"/>
        <v>12538.978533977835</v>
      </c>
      <c r="D86" s="141">
        <f t="shared" si="7"/>
        <v>4869.4188739034507</v>
      </c>
      <c r="E86" s="141">
        <f t="shared" si="8"/>
        <v>17408.397407881286</v>
      </c>
      <c r="F86" s="141">
        <f t="shared" si="9"/>
        <v>2823471.6038278639</v>
      </c>
    </row>
    <row r="87" spans="1:6" x14ac:dyDescent="0.2">
      <c r="A87" s="146">
        <v>74</v>
      </c>
      <c r="B87" s="141">
        <f t="shared" si="5"/>
        <v>2823471.6038278639</v>
      </c>
      <c r="C87" s="141">
        <f t="shared" si="6"/>
        <v>12517.390776970196</v>
      </c>
      <c r="D87" s="141">
        <f t="shared" si="7"/>
        <v>4891.0066309110898</v>
      </c>
      <c r="E87" s="141">
        <f t="shared" si="8"/>
        <v>17408.397407881286</v>
      </c>
      <c r="F87" s="141">
        <f t="shared" si="9"/>
        <v>2818580.5971969529</v>
      </c>
    </row>
    <row r="88" spans="1:6" x14ac:dyDescent="0.2">
      <c r="A88" s="146">
        <v>75</v>
      </c>
      <c r="B88" s="141">
        <f t="shared" si="5"/>
        <v>2818580.5971969529</v>
      </c>
      <c r="C88" s="141">
        <f t="shared" si="6"/>
        <v>12495.707314239824</v>
      </c>
      <c r="D88" s="141">
        <f t="shared" si="7"/>
        <v>4912.6900936414622</v>
      </c>
      <c r="E88" s="141">
        <f t="shared" si="8"/>
        <v>17408.397407881286</v>
      </c>
      <c r="F88" s="141">
        <f t="shared" si="9"/>
        <v>2813667.9071033113</v>
      </c>
    </row>
    <row r="89" spans="1:6" x14ac:dyDescent="0.2">
      <c r="A89" s="146">
        <v>76</v>
      </c>
      <c r="B89" s="141">
        <f t="shared" si="5"/>
        <v>2813667.9071033113</v>
      </c>
      <c r="C89" s="141">
        <f t="shared" si="6"/>
        <v>12473.927721491347</v>
      </c>
      <c r="D89" s="141">
        <f t="shared" si="7"/>
        <v>4934.4696863899389</v>
      </c>
      <c r="E89" s="141">
        <f t="shared" si="8"/>
        <v>17408.397407881286</v>
      </c>
      <c r="F89" s="141">
        <f t="shared" si="9"/>
        <v>2808733.4374169214</v>
      </c>
    </row>
    <row r="90" spans="1:6" x14ac:dyDescent="0.2">
      <c r="A90" s="146">
        <v>77</v>
      </c>
      <c r="B90" s="141">
        <f t="shared" si="5"/>
        <v>2808733.4374169214</v>
      </c>
      <c r="C90" s="141">
        <f t="shared" si="6"/>
        <v>12452.051572548351</v>
      </c>
      <c r="D90" s="141">
        <f t="shared" si="7"/>
        <v>4956.3458353329352</v>
      </c>
      <c r="E90" s="141">
        <f t="shared" si="8"/>
        <v>17408.397407881286</v>
      </c>
      <c r="F90" s="141">
        <f t="shared" si="9"/>
        <v>2803777.0915815886</v>
      </c>
    </row>
    <row r="91" spans="1:6" x14ac:dyDescent="0.2">
      <c r="A91" s="146">
        <v>78</v>
      </c>
      <c r="B91" s="141">
        <f t="shared" si="5"/>
        <v>2803777.0915815886</v>
      </c>
      <c r="C91" s="141">
        <f t="shared" si="6"/>
        <v>12430.078439345043</v>
      </c>
      <c r="D91" s="141">
        <f t="shared" si="7"/>
        <v>4978.3189685362431</v>
      </c>
      <c r="E91" s="141">
        <f t="shared" si="8"/>
        <v>17408.397407881286</v>
      </c>
      <c r="F91" s="141">
        <f t="shared" si="9"/>
        <v>2798798.7726130523</v>
      </c>
    </row>
    <row r="92" spans="1:6" x14ac:dyDescent="0.2">
      <c r="A92" s="146">
        <v>79</v>
      </c>
      <c r="B92" s="141">
        <f t="shared" si="5"/>
        <v>2798798.7726130523</v>
      </c>
      <c r="C92" s="141">
        <f t="shared" si="6"/>
        <v>12408.007891917865</v>
      </c>
      <c r="D92" s="141">
        <f t="shared" si="7"/>
        <v>5000.3895159634212</v>
      </c>
      <c r="E92" s="141">
        <f t="shared" si="8"/>
        <v>17408.397407881286</v>
      </c>
      <c r="F92" s="141">
        <f t="shared" si="9"/>
        <v>2793798.3830970889</v>
      </c>
    </row>
    <row r="93" spans="1:6" x14ac:dyDescent="0.2">
      <c r="A93" s="146">
        <v>80</v>
      </c>
      <c r="B93" s="141">
        <f t="shared" si="5"/>
        <v>2793798.3830970889</v>
      </c>
      <c r="C93" s="141">
        <f t="shared" si="6"/>
        <v>12385.839498397094</v>
      </c>
      <c r="D93" s="141">
        <f t="shared" si="7"/>
        <v>5022.5579094841924</v>
      </c>
      <c r="E93" s="141">
        <f t="shared" si="8"/>
        <v>17408.397407881286</v>
      </c>
      <c r="F93" s="141">
        <f t="shared" si="9"/>
        <v>2788775.8251876049</v>
      </c>
    </row>
    <row r="94" spans="1:6" x14ac:dyDescent="0.2">
      <c r="A94" s="146">
        <v>81</v>
      </c>
      <c r="B94" s="141">
        <f t="shared" si="5"/>
        <v>2788775.8251876049</v>
      </c>
      <c r="C94" s="141">
        <f t="shared" si="6"/>
        <v>12363.572824998382</v>
      </c>
      <c r="D94" s="141">
        <f t="shared" si="7"/>
        <v>5044.824582882904</v>
      </c>
      <c r="E94" s="141">
        <f t="shared" si="8"/>
        <v>17408.397407881286</v>
      </c>
      <c r="F94" s="141">
        <f t="shared" si="9"/>
        <v>2783731.0006047222</v>
      </c>
    </row>
    <row r="95" spans="1:6" x14ac:dyDescent="0.2">
      <c r="A95" s="146">
        <v>82</v>
      </c>
      <c r="B95" s="141">
        <f t="shared" si="5"/>
        <v>2783731.0006047222</v>
      </c>
      <c r="C95" s="141">
        <f t="shared" si="6"/>
        <v>12341.207436014269</v>
      </c>
      <c r="D95" s="141">
        <f t="shared" si="7"/>
        <v>5067.1899718670174</v>
      </c>
      <c r="E95" s="141">
        <f t="shared" si="8"/>
        <v>17408.397407881286</v>
      </c>
      <c r="F95" s="141">
        <f t="shared" si="9"/>
        <v>2778663.8106328552</v>
      </c>
    </row>
    <row r="96" spans="1:6" x14ac:dyDescent="0.2">
      <c r="A96" s="146">
        <v>83</v>
      </c>
      <c r="B96" s="141">
        <f t="shared" si="5"/>
        <v>2778663.8106328552</v>
      </c>
      <c r="C96" s="141">
        <f t="shared" si="6"/>
        <v>12318.742893805658</v>
      </c>
      <c r="D96" s="141">
        <f t="shared" si="7"/>
        <v>5089.654514075628</v>
      </c>
      <c r="E96" s="141">
        <f t="shared" si="8"/>
        <v>17408.397407881286</v>
      </c>
      <c r="F96" s="141">
        <f t="shared" si="9"/>
        <v>2773574.1561187794</v>
      </c>
    </row>
    <row r="97" spans="1:6" x14ac:dyDescent="0.2">
      <c r="A97" s="146">
        <v>84</v>
      </c>
      <c r="B97" s="141">
        <f t="shared" si="5"/>
        <v>2773574.1561187794</v>
      </c>
      <c r="C97" s="141">
        <f t="shared" si="6"/>
        <v>12296.178758793256</v>
      </c>
      <c r="D97" s="141">
        <f t="shared" si="7"/>
        <v>5112.2186490880304</v>
      </c>
      <c r="E97" s="141">
        <f t="shared" si="8"/>
        <v>17408.397407881286</v>
      </c>
      <c r="F97" s="141">
        <f t="shared" si="9"/>
        <v>2768461.9374696915</v>
      </c>
    </row>
    <row r="98" spans="1:6" x14ac:dyDescent="0.2">
      <c r="A98" s="146">
        <v>85</v>
      </c>
      <c r="B98" s="141">
        <f t="shared" si="5"/>
        <v>2768461.9374696915</v>
      </c>
      <c r="C98" s="141">
        <f t="shared" si="6"/>
        <v>12273.514589448965</v>
      </c>
      <c r="D98" s="141">
        <f t="shared" si="7"/>
        <v>5134.8828184323211</v>
      </c>
      <c r="E98" s="141">
        <f t="shared" si="8"/>
        <v>17408.397407881286</v>
      </c>
      <c r="F98" s="141">
        <f t="shared" si="9"/>
        <v>2763327.054651259</v>
      </c>
    </row>
    <row r="99" spans="1:6" x14ac:dyDescent="0.2">
      <c r="A99" s="146">
        <v>86</v>
      </c>
      <c r="B99" s="141">
        <f t="shared" si="5"/>
        <v>2763327.054651259</v>
      </c>
      <c r="C99" s="141">
        <f t="shared" si="6"/>
        <v>12250.749942287248</v>
      </c>
      <c r="D99" s="141">
        <f t="shared" si="7"/>
        <v>5157.6474655940383</v>
      </c>
      <c r="E99" s="141">
        <f t="shared" si="8"/>
        <v>17408.397407881286</v>
      </c>
      <c r="F99" s="141">
        <f t="shared" si="9"/>
        <v>2758169.4071856649</v>
      </c>
    </row>
    <row r="100" spans="1:6" x14ac:dyDescent="0.2">
      <c r="A100" s="146">
        <v>87</v>
      </c>
      <c r="B100" s="141">
        <f t="shared" si="5"/>
        <v>2758169.4071856649</v>
      </c>
      <c r="C100" s="141">
        <f t="shared" si="6"/>
        <v>12227.884371856448</v>
      </c>
      <c r="D100" s="141">
        <f t="shared" si="7"/>
        <v>5180.5130360248386</v>
      </c>
      <c r="E100" s="141">
        <f t="shared" si="8"/>
        <v>17408.397407881286</v>
      </c>
      <c r="F100" s="141">
        <f t="shared" si="9"/>
        <v>2752988.8941496401</v>
      </c>
    </row>
    <row r="101" spans="1:6" x14ac:dyDescent="0.2">
      <c r="A101" s="146">
        <v>88</v>
      </c>
      <c r="B101" s="141">
        <f t="shared" si="5"/>
        <v>2752988.8941496401</v>
      </c>
      <c r="C101" s="141">
        <f t="shared" si="6"/>
        <v>12204.917430730071</v>
      </c>
      <c r="D101" s="141">
        <f t="shared" si="7"/>
        <v>5203.4799771512153</v>
      </c>
      <c r="E101" s="141">
        <f t="shared" si="8"/>
        <v>17408.397407881286</v>
      </c>
      <c r="F101" s="141">
        <f t="shared" si="9"/>
        <v>2747785.4141724887</v>
      </c>
    </row>
    <row r="102" spans="1:6" x14ac:dyDescent="0.2">
      <c r="A102" s="146">
        <v>89</v>
      </c>
      <c r="B102" s="141">
        <f t="shared" si="5"/>
        <v>2747785.4141724887</v>
      </c>
      <c r="C102" s="141">
        <f t="shared" si="6"/>
        <v>12181.848669498033</v>
      </c>
      <c r="D102" s="141">
        <f t="shared" si="7"/>
        <v>5226.5487383832533</v>
      </c>
      <c r="E102" s="141">
        <f t="shared" si="8"/>
        <v>17408.397407881286</v>
      </c>
      <c r="F102" s="141">
        <f t="shared" si="9"/>
        <v>2742558.8654341055</v>
      </c>
    </row>
    <row r="103" spans="1:6" x14ac:dyDescent="0.2">
      <c r="A103" s="146">
        <v>90</v>
      </c>
      <c r="B103" s="141">
        <f t="shared" si="5"/>
        <v>2742558.8654341055</v>
      </c>
      <c r="C103" s="141">
        <f t="shared" si="6"/>
        <v>12158.677636757868</v>
      </c>
      <c r="D103" s="141">
        <f t="shared" si="7"/>
        <v>5249.7197711234185</v>
      </c>
      <c r="E103" s="141">
        <f t="shared" si="8"/>
        <v>17408.397407881286</v>
      </c>
      <c r="F103" s="141">
        <f t="shared" si="9"/>
        <v>2737309.145662982</v>
      </c>
    </row>
    <row r="104" spans="1:6" x14ac:dyDescent="0.2">
      <c r="A104" s="146">
        <v>91</v>
      </c>
      <c r="B104" s="141">
        <f t="shared" si="5"/>
        <v>2737309.145662982</v>
      </c>
      <c r="C104" s="141">
        <f t="shared" si="6"/>
        <v>12135.403879105887</v>
      </c>
      <c r="D104" s="141">
        <f t="shared" si="7"/>
        <v>5272.9935287753997</v>
      </c>
      <c r="E104" s="141">
        <f t="shared" si="8"/>
        <v>17408.397407881286</v>
      </c>
      <c r="F104" s="141">
        <f t="shared" si="9"/>
        <v>2732036.1521342066</v>
      </c>
    </row>
    <row r="105" spans="1:6" x14ac:dyDescent="0.2">
      <c r="A105" s="146">
        <v>92</v>
      </c>
      <c r="B105" s="141">
        <f t="shared" si="5"/>
        <v>2732036.1521342066</v>
      </c>
      <c r="C105" s="141">
        <f t="shared" si="6"/>
        <v>12112.026941128317</v>
      </c>
      <c r="D105" s="141">
        <f t="shared" si="7"/>
        <v>5296.3704667529692</v>
      </c>
      <c r="E105" s="141">
        <f t="shared" si="8"/>
        <v>17408.397407881286</v>
      </c>
      <c r="F105" s="141">
        <f t="shared" si="9"/>
        <v>2726739.7816674537</v>
      </c>
    </row>
    <row r="106" spans="1:6" x14ac:dyDescent="0.2">
      <c r="A106" s="146">
        <v>93</v>
      </c>
      <c r="B106" s="141">
        <f t="shared" si="5"/>
        <v>2726739.7816674537</v>
      </c>
      <c r="C106" s="141">
        <f t="shared" si="6"/>
        <v>12088.546365392378</v>
      </c>
      <c r="D106" s="141">
        <f t="shared" si="7"/>
        <v>5319.8510424889082</v>
      </c>
      <c r="E106" s="141">
        <f t="shared" si="8"/>
        <v>17408.397407881286</v>
      </c>
      <c r="F106" s="141">
        <f t="shared" si="9"/>
        <v>2721419.9306249646</v>
      </c>
    </row>
    <row r="107" spans="1:6" x14ac:dyDescent="0.2">
      <c r="A107" s="146">
        <v>94</v>
      </c>
      <c r="B107" s="141">
        <f t="shared" si="5"/>
        <v>2721419.9306249646</v>
      </c>
      <c r="C107" s="141">
        <f t="shared" si="6"/>
        <v>12064.961692437344</v>
      </c>
      <c r="D107" s="141">
        <f t="shared" si="7"/>
        <v>5343.4357154439422</v>
      </c>
      <c r="E107" s="141">
        <f t="shared" si="8"/>
        <v>17408.397407881286</v>
      </c>
      <c r="F107" s="141">
        <f t="shared" si="9"/>
        <v>2716076.4949095207</v>
      </c>
    </row>
    <row r="108" spans="1:6" x14ac:dyDescent="0.2">
      <c r="A108" s="146">
        <v>95</v>
      </c>
      <c r="B108" s="141">
        <f t="shared" si="5"/>
        <v>2716076.4949095207</v>
      </c>
      <c r="C108" s="141">
        <f t="shared" si="6"/>
        <v>12041.272460765542</v>
      </c>
      <c r="D108" s="141">
        <f t="shared" si="7"/>
        <v>5367.1249471157444</v>
      </c>
      <c r="E108" s="141">
        <f t="shared" si="8"/>
        <v>17408.397407881286</v>
      </c>
      <c r="F108" s="141">
        <f t="shared" si="9"/>
        <v>2710709.3699624049</v>
      </c>
    </row>
    <row r="109" spans="1:6" x14ac:dyDescent="0.2">
      <c r="A109" s="146">
        <v>96</v>
      </c>
      <c r="B109" s="141">
        <f t="shared" si="5"/>
        <v>2710709.3699624049</v>
      </c>
      <c r="C109" s="141">
        <f t="shared" si="6"/>
        <v>12017.478206833328</v>
      </c>
      <c r="D109" s="141">
        <f t="shared" si="7"/>
        <v>5390.9192010479583</v>
      </c>
      <c r="E109" s="141">
        <f t="shared" si="8"/>
        <v>17408.397407881286</v>
      </c>
      <c r="F109" s="141">
        <f t="shared" si="9"/>
        <v>2705318.4507613569</v>
      </c>
    </row>
    <row r="110" spans="1:6" x14ac:dyDescent="0.2">
      <c r="A110" s="146">
        <v>97</v>
      </c>
      <c r="B110" s="141">
        <f t="shared" si="5"/>
        <v>2705318.4507613569</v>
      </c>
      <c r="C110" s="141">
        <f t="shared" si="6"/>
        <v>11993.578465042016</v>
      </c>
      <c r="D110" s="141">
        <f t="shared" si="7"/>
        <v>5414.8189428392707</v>
      </c>
      <c r="E110" s="141">
        <f t="shared" si="8"/>
        <v>17408.397407881286</v>
      </c>
      <c r="F110" s="141">
        <f t="shared" si="9"/>
        <v>2699903.6318185176</v>
      </c>
    </row>
    <row r="111" spans="1:6" x14ac:dyDescent="0.2">
      <c r="A111" s="146">
        <v>98</v>
      </c>
      <c r="B111" s="141">
        <f t="shared" si="5"/>
        <v>2699903.6318185176</v>
      </c>
      <c r="C111" s="141">
        <f t="shared" si="6"/>
        <v>11969.572767728761</v>
      </c>
      <c r="D111" s="141">
        <f t="shared" si="7"/>
        <v>5438.8246401525248</v>
      </c>
      <c r="E111" s="141">
        <f t="shared" si="8"/>
        <v>17408.397407881286</v>
      </c>
      <c r="F111" s="141">
        <f t="shared" si="9"/>
        <v>2694464.8071783651</v>
      </c>
    </row>
    <row r="112" spans="1:6" x14ac:dyDescent="0.2">
      <c r="A112" s="146">
        <v>99</v>
      </c>
      <c r="B112" s="141">
        <f t="shared" si="5"/>
        <v>2694464.8071783651</v>
      </c>
      <c r="C112" s="141">
        <f t="shared" si="6"/>
        <v>11945.460645157418</v>
      </c>
      <c r="D112" s="141">
        <f t="shared" si="7"/>
        <v>5462.936762723868</v>
      </c>
      <c r="E112" s="141">
        <f t="shared" si="8"/>
        <v>17408.397407881286</v>
      </c>
      <c r="F112" s="141">
        <f t="shared" si="9"/>
        <v>2689001.870415641</v>
      </c>
    </row>
    <row r="113" spans="1:6" x14ac:dyDescent="0.2">
      <c r="A113" s="146">
        <v>100</v>
      </c>
      <c r="B113" s="141">
        <f t="shared" si="5"/>
        <v>2689001.870415641</v>
      </c>
      <c r="C113" s="141">
        <f t="shared" si="6"/>
        <v>11921.241625509341</v>
      </c>
      <c r="D113" s="141">
        <f t="shared" si="7"/>
        <v>5487.155782371945</v>
      </c>
      <c r="E113" s="141">
        <f t="shared" si="8"/>
        <v>17408.397407881286</v>
      </c>
      <c r="F113" s="141">
        <f t="shared" si="9"/>
        <v>2683514.7146332692</v>
      </c>
    </row>
    <row r="114" spans="1:6" x14ac:dyDescent="0.2">
      <c r="A114" s="146">
        <v>101</v>
      </c>
      <c r="B114" s="141">
        <f t="shared" si="5"/>
        <v>2683514.7146332692</v>
      </c>
      <c r="C114" s="141">
        <f t="shared" si="6"/>
        <v>11896.915234874161</v>
      </c>
      <c r="D114" s="141">
        <f t="shared" si="7"/>
        <v>5511.4821730071253</v>
      </c>
      <c r="E114" s="141">
        <f t="shared" si="8"/>
        <v>17408.397407881286</v>
      </c>
      <c r="F114" s="141">
        <f t="shared" si="9"/>
        <v>2678003.2324602623</v>
      </c>
    </row>
    <row r="115" spans="1:6" x14ac:dyDescent="0.2">
      <c r="A115" s="146">
        <v>102</v>
      </c>
      <c r="B115" s="141">
        <f t="shared" si="5"/>
        <v>2678003.2324602623</v>
      </c>
      <c r="C115" s="141">
        <f t="shared" si="6"/>
        <v>11872.480997240496</v>
      </c>
      <c r="D115" s="141">
        <f t="shared" si="7"/>
        <v>5535.9164106407898</v>
      </c>
      <c r="E115" s="141">
        <f t="shared" si="8"/>
        <v>17408.397407881286</v>
      </c>
      <c r="F115" s="141">
        <f t="shared" si="9"/>
        <v>2672467.3160496214</v>
      </c>
    </row>
    <row r="116" spans="1:6" x14ac:dyDescent="0.2">
      <c r="A116" s="146">
        <v>103</v>
      </c>
      <c r="B116" s="141">
        <f t="shared" si="5"/>
        <v>2672467.3160496214</v>
      </c>
      <c r="C116" s="141">
        <f t="shared" si="6"/>
        <v>11847.938434486656</v>
      </c>
      <c r="D116" s="141">
        <f t="shared" si="7"/>
        <v>5560.4589733946304</v>
      </c>
      <c r="E116" s="141">
        <f t="shared" si="8"/>
        <v>17408.397407881286</v>
      </c>
      <c r="F116" s="141">
        <f t="shared" si="9"/>
        <v>2666906.8570762267</v>
      </c>
    </row>
    <row r="117" spans="1:6" x14ac:dyDescent="0.2">
      <c r="A117" s="146">
        <v>104</v>
      </c>
      <c r="B117" s="141">
        <f t="shared" si="5"/>
        <v>2666906.8570762267</v>
      </c>
      <c r="C117" s="141">
        <f t="shared" si="6"/>
        <v>11823.287066371273</v>
      </c>
      <c r="D117" s="141">
        <f t="shared" si="7"/>
        <v>5585.1103415100133</v>
      </c>
      <c r="E117" s="141">
        <f t="shared" si="8"/>
        <v>17408.397407881286</v>
      </c>
      <c r="F117" s="141">
        <f t="shared" si="9"/>
        <v>2661321.7467347169</v>
      </c>
    </row>
    <row r="118" spans="1:6" x14ac:dyDescent="0.2">
      <c r="A118" s="146">
        <v>105</v>
      </c>
      <c r="B118" s="141">
        <f t="shared" si="5"/>
        <v>2661321.7467347169</v>
      </c>
      <c r="C118" s="141">
        <f t="shared" si="6"/>
        <v>11798.526410523911</v>
      </c>
      <c r="D118" s="141">
        <f t="shared" si="7"/>
        <v>5609.870997357375</v>
      </c>
      <c r="E118" s="141">
        <f t="shared" si="8"/>
        <v>17408.397407881286</v>
      </c>
      <c r="F118" s="141">
        <f t="shared" si="9"/>
        <v>2655711.8757373597</v>
      </c>
    </row>
    <row r="119" spans="1:6" x14ac:dyDescent="0.2">
      <c r="A119" s="146">
        <v>106</v>
      </c>
      <c r="B119" s="141">
        <f t="shared" si="5"/>
        <v>2655711.8757373597</v>
      </c>
      <c r="C119" s="141">
        <f t="shared" si="6"/>
        <v>11773.655982435628</v>
      </c>
      <c r="D119" s="141">
        <f t="shared" si="7"/>
        <v>5634.741425445658</v>
      </c>
      <c r="E119" s="141">
        <f t="shared" si="8"/>
        <v>17408.397407881286</v>
      </c>
      <c r="F119" s="141">
        <f t="shared" si="9"/>
        <v>2650077.134311914</v>
      </c>
    </row>
    <row r="120" spans="1:6" x14ac:dyDescent="0.2">
      <c r="A120" s="146">
        <v>107</v>
      </c>
      <c r="B120" s="141">
        <f t="shared" si="5"/>
        <v>2650077.134311914</v>
      </c>
      <c r="C120" s="141">
        <f t="shared" si="6"/>
        <v>11748.675295449486</v>
      </c>
      <c r="D120" s="141">
        <f t="shared" si="7"/>
        <v>5659.7221124318003</v>
      </c>
      <c r="E120" s="141">
        <f t="shared" si="8"/>
        <v>17408.397407881286</v>
      </c>
      <c r="F120" s="141">
        <f t="shared" si="9"/>
        <v>2644417.4121994823</v>
      </c>
    </row>
    <row r="121" spans="1:6" x14ac:dyDescent="0.2">
      <c r="A121" s="146">
        <v>108</v>
      </c>
      <c r="B121" s="141">
        <f t="shared" si="5"/>
        <v>2644417.4121994823</v>
      </c>
      <c r="C121" s="141">
        <f t="shared" si="6"/>
        <v>11723.583860751038</v>
      </c>
      <c r="D121" s="141">
        <f t="shared" si="7"/>
        <v>5684.8135471302485</v>
      </c>
      <c r="E121" s="141">
        <f t="shared" si="8"/>
        <v>17408.397407881286</v>
      </c>
      <c r="F121" s="141">
        <f t="shared" si="9"/>
        <v>2638732.5986523521</v>
      </c>
    </row>
    <row r="122" spans="1:6" x14ac:dyDescent="0.2">
      <c r="A122" s="146">
        <v>109</v>
      </c>
      <c r="B122" s="141">
        <f t="shared" si="5"/>
        <v>2638732.5986523521</v>
      </c>
      <c r="C122" s="141">
        <f t="shared" si="6"/>
        <v>11698.381187358762</v>
      </c>
      <c r="D122" s="141">
        <f t="shared" si="7"/>
        <v>5710.0162205225242</v>
      </c>
      <c r="E122" s="141">
        <f t="shared" si="8"/>
        <v>17408.397407881286</v>
      </c>
      <c r="F122" s="141">
        <f t="shared" si="9"/>
        <v>2633022.5824318295</v>
      </c>
    </row>
    <row r="123" spans="1:6" x14ac:dyDescent="0.2">
      <c r="A123" s="146">
        <v>110</v>
      </c>
      <c r="B123" s="141">
        <f t="shared" si="5"/>
        <v>2633022.5824318295</v>
      </c>
      <c r="C123" s="141">
        <f t="shared" si="6"/>
        <v>11673.066782114445</v>
      </c>
      <c r="D123" s="141">
        <f t="shared" si="7"/>
        <v>5735.330625766841</v>
      </c>
      <c r="E123" s="141">
        <f t="shared" si="8"/>
        <v>17408.397407881286</v>
      </c>
      <c r="F123" s="141">
        <f t="shared" si="9"/>
        <v>2627287.2518060626</v>
      </c>
    </row>
    <row r="124" spans="1:6" x14ac:dyDescent="0.2">
      <c r="A124" s="146">
        <v>111</v>
      </c>
      <c r="B124" s="141">
        <f t="shared" si="5"/>
        <v>2627287.2518060626</v>
      </c>
      <c r="C124" s="141">
        <f t="shared" si="6"/>
        <v>11647.640149673545</v>
      </c>
      <c r="D124" s="141">
        <f t="shared" si="7"/>
        <v>5760.757258207741</v>
      </c>
      <c r="E124" s="141">
        <f t="shared" si="8"/>
        <v>17408.397407881286</v>
      </c>
      <c r="F124" s="141">
        <f t="shared" si="9"/>
        <v>2621526.4945478551</v>
      </c>
    </row>
    <row r="125" spans="1:6" x14ac:dyDescent="0.2">
      <c r="A125" s="146">
        <v>112</v>
      </c>
      <c r="B125" s="141">
        <f t="shared" si="5"/>
        <v>2621526.4945478551</v>
      </c>
      <c r="C125" s="141">
        <f t="shared" si="6"/>
        <v>11622.100792495492</v>
      </c>
      <c r="D125" s="141">
        <f t="shared" si="7"/>
        <v>5786.2966153857942</v>
      </c>
      <c r="E125" s="141">
        <f t="shared" si="8"/>
        <v>17408.397407881286</v>
      </c>
      <c r="F125" s="141">
        <f t="shared" si="9"/>
        <v>2615740.1979324692</v>
      </c>
    </row>
    <row r="126" spans="1:6" x14ac:dyDescent="0.2">
      <c r="A126" s="146">
        <v>113</v>
      </c>
      <c r="B126" s="141">
        <f t="shared" si="5"/>
        <v>2615740.1979324692</v>
      </c>
      <c r="C126" s="141">
        <f t="shared" si="6"/>
        <v>11596.448210833947</v>
      </c>
      <c r="D126" s="141">
        <f t="shared" si="7"/>
        <v>5811.9491970473391</v>
      </c>
      <c r="E126" s="141">
        <f t="shared" si="8"/>
        <v>17408.397407881286</v>
      </c>
      <c r="F126" s="141">
        <f t="shared" si="9"/>
        <v>2609928.2487354218</v>
      </c>
    </row>
    <row r="127" spans="1:6" x14ac:dyDescent="0.2">
      <c r="A127" s="146">
        <v>114</v>
      </c>
      <c r="B127" s="141">
        <f t="shared" si="5"/>
        <v>2609928.2487354218</v>
      </c>
      <c r="C127" s="141">
        <f t="shared" si="6"/>
        <v>11570.681902727038</v>
      </c>
      <c r="D127" s="141">
        <f t="shared" si="7"/>
        <v>5837.7155051542486</v>
      </c>
      <c r="E127" s="141">
        <f t="shared" si="8"/>
        <v>17408.397407881286</v>
      </c>
      <c r="F127" s="141">
        <f t="shared" si="9"/>
        <v>2604090.5332302675</v>
      </c>
    </row>
    <row r="128" spans="1:6" x14ac:dyDescent="0.2">
      <c r="A128" s="146">
        <v>115</v>
      </c>
      <c r="B128" s="141">
        <f t="shared" si="5"/>
        <v>2604090.5332302675</v>
      </c>
      <c r="C128" s="141">
        <f t="shared" si="6"/>
        <v>11544.801363987519</v>
      </c>
      <c r="D128" s="141">
        <f t="shared" si="7"/>
        <v>5863.5960438937673</v>
      </c>
      <c r="E128" s="141">
        <f t="shared" si="8"/>
        <v>17408.397407881286</v>
      </c>
      <c r="F128" s="141">
        <f t="shared" si="9"/>
        <v>2598226.9371863739</v>
      </c>
    </row>
    <row r="129" spans="1:6" x14ac:dyDescent="0.2">
      <c r="A129" s="146">
        <v>116</v>
      </c>
      <c r="B129" s="141">
        <f t="shared" si="5"/>
        <v>2598226.9371863739</v>
      </c>
      <c r="C129" s="141">
        <f t="shared" si="6"/>
        <v>11518.806088192925</v>
      </c>
      <c r="D129" s="141">
        <f t="shared" si="7"/>
        <v>5889.5913196883612</v>
      </c>
      <c r="E129" s="141">
        <f t="shared" si="8"/>
        <v>17408.397407881286</v>
      </c>
      <c r="F129" s="141">
        <f t="shared" si="9"/>
        <v>2592337.3458666857</v>
      </c>
    </row>
    <row r="130" spans="1:6" x14ac:dyDescent="0.2">
      <c r="A130" s="146">
        <v>117</v>
      </c>
      <c r="B130" s="141">
        <f t="shared" si="5"/>
        <v>2592337.3458666857</v>
      </c>
      <c r="C130" s="141">
        <f t="shared" si="6"/>
        <v>11492.69556667564</v>
      </c>
      <c r="D130" s="141">
        <f t="shared" si="7"/>
        <v>5915.7018412056459</v>
      </c>
      <c r="E130" s="141">
        <f t="shared" si="8"/>
        <v>17408.397407881286</v>
      </c>
      <c r="F130" s="141">
        <f t="shared" si="9"/>
        <v>2586421.6440254799</v>
      </c>
    </row>
    <row r="131" spans="1:6" x14ac:dyDescent="0.2">
      <c r="A131" s="146">
        <v>118</v>
      </c>
      <c r="B131" s="141">
        <f t="shared" si="5"/>
        <v>2586421.6440254799</v>
      </c>
      <c r="C131" s="141">
        <f t="shared" si="6"/>
        <v>11466.469288512961</v>
      </c>
      <c r="D131" s="141">
        <f t="shared" si="7"/>
        <v>5941.9281193683255</v>
      </c>
      <c r="E131" s="141">
        <f t="shared" si="8"/>
        <v>17408.397407881286</v>
      </c>
      <c r="F131" s="141">
        <f t="shared" si="9"/>
        <v>2580479.7159061115</v>
      </c>
    </row>
    <row r="132" spans="1:6" x14ac:dyDescent="0.2">
      <c r="A132" s="146">
        <v>119</v>
      </c>
      <c r="B132" s="141">
        <f t="shared" si="5"/>
        <v>2580479.7159061115</v>
      </c>
      <c r="C132" s="141">
        <f t="shared" si="6"/>
        <v>11440.126740517095</v>
      </c>
      <c r="D132" s="141">
        <f t="shared" si="7"/>
        <v>5968.2706673641915</v>
      </c>
      <c r="E132" s="141">
        <f t="shared" si="8"/>
        <v>17408.397407881286</v>
      </c>
      <c r="F132" s="141">
        <f t="shared" si="9"/>
        <v>2574511.4452387472</v>
      </c>
    </row>
    <row r="133" spans="1:6" x14ac:dyDescent="0.2">
      <c r="A133" s="146">
        <v>120</v>
      </c>
      <c r="B133" s="141">
        <f t="shared" si="5"/>
        <v>2574511.4452387472</v>
      </c>
      <c r="C133" s="141">
        <f t="shared" si="6"/>
        <v>11413.667407225113</v>
      </c>
      <c r="D133" s="141">
        <f t="shared" si="7"/>
        <v>5994.7300006561727</v>
      </c>
      <c r="E133" s="141">
        <f t="shared" si="8"/>
        <v>17408.397407881286</v>
      </c>
      <c r="F133" s="141">
        <f t="shared" si="9"/>
        <v>2568516.7152380911</v>
      </c>
    </row>
    <row r="134" spans="1:6" x14ac:dyDescent="0.2">
      <c r="A134" s="146">
        <v>121</v>
      </c>
      <c r="B134" s="141">
        <f t="shared" si="5"/>
        <v>2568516.7152380911</v>
      </c>
      <c r="C134" s="141">
        <f t="shared" si="6"/>
        <v>11387.09077088887</v>
      </c>
      <c r="D134" s="141">
        <f t="shared" si="7"/>
        <v>6021.3066369924163</v>
      </c>
      <c r="E134" s="141">
        <f t="shared" si="8"/>
        <v>17408.397407881286</v>
      </c>
      <c r="F134" s="141">
        <f t="shared" si="9"/>
        <v>2562495.4086010987</v>
      </c>
    </row>
    <row r="135" spans="1:6" x14ac:dyDescent="0.2">
      <c r="A135" s="146">
        <v>122</v>
      </c>
      <c r="B135" s="141">
        <f t="shared" si="5"/>
        <v>2562495.4086010987</v>
      </c>
      <c r="C135" s="141">
        <f t="shared" si="6"/>
        <v>11360.39631146487</v>
      </c>
      <c r="D135" s="141">
        <f t="shared" si="7"/>
        <v>6048.0010964164157</v>
      </c>
      <c r="E135" s="141">
        <f t="shared" si="8"/>
        <v>17408.397407881286</v>
      </c>
      <c r="F135" s="141">
        <f t="shared" si="9"/>
        <v>2556447.4075046824</v>
      </c>
    </row>
    <row r="136" spans="1:6" x14ac:dyDescent="0.2">
      <c r="A136" s="146">
        <v>123</v>
      </c>
      <c r="B136" s="141">
        <f t="shared" si="5"/>
        <v>2556447.4075046824</v>
      </c>
      <c r="C136" s="141">
        <f t="shared" si="6"/>
        <v>11333.583506604093</v>
      </c>
      <c r="D136" s="141">
        <f t="shared" si="7"/>
        <v>6074.8139012771935</v>
      </c>
      <c r="E136" s="141">
        <f t="shared" si="8"/>
        <v>17408.397407881286</v>
      </c>
      <c r="F136" s="141">
        <f t="shared" si="9"/>
        <v>2550372.5936034052</v>
      </c>
    </row>
    <row r="137" spans="1:6" x14ac:dyDescent="0.2">
      <c r="A137" s="146">
        <v>124</v>
      </c>
      <c r="B137" s="141">
        <f t="shared" si="5"/>
        <v>2550372.5936034052</v>
      </c>
      <c r="C137" s="141">
        <f t="shared" si="6"/>
        <v>11306.651831641762</v>
      </c>
      <c r="D137" s="141">
        <f t="shared" si="7"/>
        <v>6101.7455762395239</v>
      </c>
      <c r="E137" s="141">
        <f t="shared" si="8"/>
        <v>17408.397407881286</v>
      </c>
      <c r="F137" s="141">
        <f t="shared" si="9"/>
        <v>2544270.8480271655</v>
      </c>
    </row>
    <row r="138" spans="1:6" x14ac:dyDescent="0.2">
      <c r="A138" s="146">
        <v>125</v>
      </c>
      <c r="B138" s="141">
        <f t="shared" si="5"/>
        <v>2544270.8480271655</v>
      </c>
      <c r="C138" s="141">
        <f t="shared" si="6"/>
        <v>11279.600759587101</v>
      </c>
      <c r="D138" s="141">
        <f t="shared" si="7"/>
        <v>6128.7966482941847</v>
      </c>
      <c r="E138" s="141">
        <f t="shared" si="8"/>
        <v>17408.397407881286</v>
      </c>
      <c r="F138" s="141">
        <f t="shared" si="9"/>
        <v>2538142.0513788713</v>
      </c>
    </row>
    <row r="139" spans="1:6" x14ac:dyDescent="0.2">
      <c r="A139" s="146">
        <v>126</v>
      </c>
      <c r="B139" s="141">
        <f t="shared" si="5"/>
        <v>2538142.0513788713</v>
      </c>
      <c r="C139" s="141">
        <f t="shared" si="6"/>
        <v>11252.429761112997</v>
      </c>
      <c r="D139" s="141">
        <f t="shared" si="7"/>
        <v>6155.9676467682893</v>
      </c>
      <c r="E139" s="141">
        <f t="shared" si="8"/>
        <v>17408.397407881286</v>
      </c>
      <c r="F139" s="141">
        <f t="shared" si="9"/>
        <v>2531986.083732103</v>
      </c>
    </row>
    <row r="140" spans="1:6" x14ac:dyDescent="0.2">
      <c r="A140" s="146">
        <v>127</v>
      </c>
      <c r="B140" s="141">
        <f t="shared" si="5"/>
        <v>2531986.083732103</v>
      </c>
      <c r="C140" s="141">
        <f t="shared" si="6"/>
        <v>11225.138304545657</v>
      </c>
      <c r="D140" s="141">
        <f t="shared" si="7"/>
        <v>6183.2591033356293</v>
      </c>
      <c r="E140" s="141">
        <f t="shared" si="8"/>
        <v>17408.397407881286</v>
      </c>
      <c r="F140" s="141">
        <f t="shared" si="9"/>
        <v>2525802.8246287676</v>
      </c>
    </row>
    <row r="141" spans="1:6" x14ac:dyDescent="0.2">
      <c r="A141" s="146">
        <v>128</v>
      </c>
      <c r="B141" s="141">
        <f t="shared" si="5"/>
        <v>2525802.8246287676</v>
      </c>
      <c r="C141" s="141">
        <f t="shared" si="6"/>
        <v>11197.725855854203</v>
      </c>
      <c r="D141" s="141">
        <f t="shared" si="7"/>
        <v>6210.6715520270827</v>
      </c>
      <c r="E141" s="141">
        <f t="shared" si="8"/>
        <v>17408.397407881286</v>
      </c>
      <c r="F141" s="141">
        <f t="shared" si="9"/>
        <v>2519592.1530767404</v>
      </c>
    </row>
    <row r="142" spans="1:6" x14ac:dyDescent="0.2">
      <c r="A142" s="146">
        <v>129</v>
      </c>
      <c r="B142" s="141">
        <f t="shared" si="5"/>
        <v>2519592.1530767404</v>
      </c>
      <c r="C142" s="141">
        <f t="shared" si="6"/>
        <v>11170.191878640217</v>
      </c>
      <c r="D142" s="141">
        <f t="shared" si="7"/>
        <v>6238.2055292410696</v>
      </c>
      <c r="E142" s="141">
        <f t="shared" si="8"/>
        <v>17408.397407881286</v>
      </c>
      <c r="F142" s="141">
        <f t="shared" si="9"/>
        <v>2513353.9475474996</v>
      </c>
    </row>
    <row r="143" spans="1:6" x14ac:dyDescent="0.2">
      <c r="A143" s="146">
        <v>130</v>
      </c>
      <c r="B143" s="141">
        <f t="shared" si="5"/>
        <v>2513353.9475474996</v>
      </c>
      <c r="C143" s="141">
        <f t="shared" si="6"/>
        <v>11142.535834127248</v>
      </c>
      <c r="D143" s="141">
        <f t="shared" si="7"/>
        <v>6265.8615737540385</v>
      </c>
      <c r="E143" s="141">
        <f t="shared" si="8"/>
        <v>17408.397407881286</v>
      </c>
      <c r="F143" s="141">
        <f t="shared" si="9"/>
        <v>2507088.0859737457</v>
      </c>
    </row>
    <row r="144" spans="1:6" x14ac:dyDescent="0.2">
      <c r="A144" s="146">
        <v>131</v>
      </c>
      <c r="B144" s="141">
        <f t="shared" ref="B144:B207" si="10">F143</f>
        <v>2507088.0859737457</v>
      </c>
      <c r="C144" s="141">
        <f t="shared" ref="C144:C207" si="11">B144*($B$3/12)</f>
        <v>11114.757181150273</v>
      </c>
      <c r="D144" s="141">
        <f t="shared" ref="D144:D207" si="12">E144-C144</f>
        <v>6293.6402267310132</v>
      </c>
      <c r="E144" s="141">
        <f t="shared" ref="E144:E207" si="13">PMT($B$3/12,$B$5*12,-$B$2)</f>
        <v>17408.397407881286</v>
      </c>
      <c r="F144" s="141">
        <f t="shared" ref="F144:F207" si="14">B144-D144</f>
        <v>2500794.4457470146</v>
      </c>
    </row>
    <row r="145" spans="1:6" x14ac:dyDescent="0.2">
      <c r="A145" s="146">
        <v>132</v>
      </c>
      <c r="B145" s="141">
        <f t="shared" si="10"/>
        <v>2500794.4457470146</v>
      </c>
      <c r="C145" s="141">
        <f t="shared" si="11"/>
        <v>11086.855376145098</v>
      </c>
      <c r="D145" s="141">
        <f t="shared" si="12"/>
        <v>6321.5420317361877</v>
      </c>
      <c r="E145" s="141">
        <f t="shared" si="13"/>
        <v>17408.397407881286</v>
      </c>
      <c r="F145" s="141">
        <f t="shared" si="14"/>
        <v>2494472.9037152785</v>
      </c>
    </row>
    <row r="146" spans="1:6" x14ac:dyDescent="0.2">
      <c r="A146" s="146">
        <v>133</v>
      </c>
      <c r="B146" s="141">
        <f t="shared" si="10"/>
        <v>2494472.9037152785</v>
      </c>
      <c r="C146" s="141">
        <f t="shared" si="11"/>
        <v>11058.829873137734</v>
      </c>
      <c r="D146" s="141">
        <f t="shared" si="12"/>
        <v>6349.5675347435517</v>
      </c>
      <c r="E146" s="141">
        <f t="shared" si="13"/>
        <v>17408.397407881286</v>
      </c>
      <c r="F146" s="141">
        <f t="shared" si="14"/>
        <v>2488123.3361805351</v>
      </c>
    </row>
    <row r="147" spans="1:6" x14ac:dyDescent="0.2">
      <c r="A147" s="146">
        <v>134</v>
      </c>
      <c r="B147" s="141">
        <f t="shared" si="10"/>
        <v>2488123.3361805351</v>
      </c>
      <c r="C147" s="141">
        <f t="shared" si="11"/>
        <v>11030.680123733706</v>
      </c>
      <c r="D147" s="141">
        <f t="shared" si="12"/>
        <v>6377.7172841475804</v>
      </c>
      <c r="E147" s="141">
        <f t="shared" si="13"/>
        <v>17408.397407881286</v>
      </c>
      <c r="F147" s="141">
        <f t="shared" si="14"/>
        <v>2481745.6188963875</v>
      </c>
    </row>
    <row r="148" spans="1:6" x14ac:dyDescent="0.2">
      <c r="A148" s="146">
        <v>135</v>
      </c>
      <c r="B148" s="141">
        <f t="shared" si="10"/>
        <v>2481745.6188963875</v>
      </c>
      <c r="C148" s="141">
        <f t="shared" si="11"/>
        <v>11002.405577107318</v>
      </c>
      <c r="D148" s="141">
        <f t="shared" si="12"/>
        <v>6405.9918307739681</v>
      </c>
      <c r="E148" s="141">
        <f t="shared" si="13"/>
        <v>17408.397407881286</v>
      </c>
      <c r="F148" s="141">
        <f t="shared" si="14"/>
        <v>2475339.6270656134</v>
      </c>
    </row>
    <row r="149" spans="1:6" x14ac:dyDescent="0.2">
      <c r="A149" s="146">
        <v>136</v>
      </c>
      <c r="B149" s="141">
        <f t="shared" si="10"/>
        <v>2475339.6270656134</v>
      </c>
      <c r="C149" s="141">
        <f t="shared" si="11"/>
        <v>10974.005679990887</v>
      </c>
      <c r="D149" s="141">
        <f t="shared" si="12"/>
        <v>6434.3917278903991</v>
      </c>
      <c r="E149" s="141">
        <f t="shared" si="13"/>
        <v>17408.397407881286</v>
      </c>
      <c r="F149" s="141">
        <f t="shared" si="14"/>
        <v>2468905.235337723</v>
      </c>
    </row>
    <row r="150" spans="1:6" x14ac:dyDescent="0.2">
      <c r="A150" s="146">
        <v>137</v>
      </c>
      <c r="B150" s="141">
        <f t="shared" si="10"/>
        <v>2468905.235337723</v>
      </c>
      <c r="C150" s="141">
        <f t="shared" si="11"/>
        <v>10945.479876663905</v>
      </c>
      <c r="D150" s="141">
        <f t="shared" si="12"/>
        <v>6462.9175312173811</v>
      </c>
      <c r="E150" s="141">
        <f t="shared" si="13"/>
        <v>17408.397407881286</v>
      </c>
      <c r="F150" s="141">
        <f t="shared" si="14"/>
        <v>2462442.3178065056</v>
      </c>
    </row>
    <row r="151" spans="1:6" x14ac:dyDescent="0.2">
      <c r="A151" s="146">
        <v>138</v>
      </c>
      <c r="B151" s="141">
        <f t="shared" si="10"/>
        <v>2462442.3178065056</v>
      </c>
      <c r="C151" s="141">
        <f t="shared" si="11"/>
        <v>10916.827608942174</v>
      </c>
      <c r="D151" s="141">
        <f t="shared" si="12"/>
        <v>6491.5697989391119</v>
      </c>
      <c r="E151" s="141">
        <f t="shared" si="13"/>
        <v>17408.397407881286</v>
      </c>
      <c r="F151" s="141">
        <f t="shared" si="14"/>
        <v>2455950.7480075667</v>
      </c>
    </row>
    <row r="152" spans="1:6" x14ac:dyDescent="0.2">
      <c r="A152" s="146">
        <v>139</v>
      </c>
      <c r="B152" s="141">
        <f t="shared" si="10"/>
        <v>2455950.7480075667</v>
      </c>
      <c r="C152" s="141">
        <f t="shared" si="11"/>
        <v>10888.04831616688</v>
      </c>
      <c r="D152" s="141">
        <f t="shared" si="12"/>
        <v>6520.3490917144063</v>
      </c>
      <c r="E152" s="141">
        <f t="shared" si="13"/>
        <v>17408.397407881286</v>
      </c>
      <c r="F152" s="141">
        <f t="shared" si="14"/>
        <v>2449430.3989158524</v>
      </c>
    </row>
    <row r="153" spans="1:6" x14ac:dyDescent="0.2">
      <c r="A153" s="146">
        <v>140</v>
      </c>
      <c r="B153" s="141">
        <f t="shared" si="10"/>
        <v>2449430.3989158524</v>
      </c>
      <c r="C153" s="141">
        <f t="shared" si="11"/>
        <v>10859.141435193613</v>
      </c>
      <c r="D153" s="141">
        <f t="shared" si="12"/>
        <v>6549.2559726876734</v>
      </c>
      <c r="E153" s="141">
        <f t="shared" si="13"/>
        <v>17408.397407881286</v>
      </c>
      <c r="F153" s="141">
        <f t="shared" si="14"/>
        <v>2442881.1429431648</v>
      </c>
    </row>
    <row r="154" spans="1:6" x14ac:dyDescent="0.2">
      <c r="A154" s="146">
        <v>141</v>
      </c>
      <c r="B154" s="141">
        <f t="shared" si="10"/>
        <v>2442881.1429431648</v>
      </c>
      <c r="C154" s="141">
        <f t="shared" si="11"/>
        <v>10830.106400381364</v>
      </c>
      <c r="D154" s="141">
        <f t="shared" si="12"/>
        <v>6578.2910074999218</v>
      </c>
      <c r="E154" s="141">
        <f t="shared" si="13"/>
        <v>17408.397407881286</v>
      </c>
      <c r="F154" s="141">
        <f t="shared" si="14"/>
        <v>2436302.8519356647</v>
      </c>
    </row>
    <row r="155" spans="1:6" x14ac:dyDescent="0.2">
      <c r="A155" s="146">
        <v>142</v>
      </c>
      <c r="B155" s="141">
        <f t="shared" si="10"/>
        <v>2436302.8519356647</v>
      </c>
      <c r="C155" s="141">
        <f t="shared" si="11"/>
        <v>10800.942643581448</v>
      </c>
      <c r="D155" s="141">
        <f t="shared" si="12"/>
        <v>6607.4547642998386</v>
      </c>
      <c r="E155" s="141">
        <f t="shared" si="13"/>
        <v>17408.397407881286</v>
      </c>
      <c r="F155" s="141">
        <f t="shared" si="14"/>
        <v>2429695.3971713646</v>
      </c>
    </row>
    <row r="156" spans="1:6" x14ac:dyDescent="0.2">
      <c r="A156" s="146">
        <v>143</v>
      </c>
      <c r="B156" s="141">
        <f t="shared" si="10"/>
        <v>2429695.3971713646</v>
      </c>
      <c r="C156" s="141">
        <f t="shared" si="11"/>
        <v>10771.649594126384</v>
      </c>
      <c r="D156" s="141">
        <f t="shared" si="12"/>
        <v>6636.7478137549024</v>
      </c>
      <c r="E156" s="141">
        <f t="shared" si="13"/>
        <v>17408.397407881286</v>
      </c>
      <c r="F156" s="141">
        <f t="shared" si="14"/>
        <v>2423058.6493576099</v>
      </c>
    </row>
    <row r="157" spans="1:6" x14ac:dyDescent="0.2">
      <c r="A157" s="146">
        <v>144</v>
      </c>
      <c r="B157" s="141">
        <f t="shared" si="10"/>
        <v>2423058.6493576099</v>
      </c>
      <c r="C157" s="141">
        <f t="shared" si="11"/>
        <v>10742.226678818737</v>
      </c>
      <c r="D157" s="141">
        <f t="shared" si="12"/>
        <v>6666.1707290625491</v>
      </c>
      <c r="E157" s="141">
        <f t="shared" si="13"/>
        <v>17408.397407881286</v>
      </c>
      <c r="F157" s="141">
        <f t="shared" si="14"/>
        <v>2416392.4786285474</v>
      </c>
    </row>
    <row r="158" spans="1:6" x14ac:dyDescent="0.2">
      <c r="A158" s="146">
        <v>145</v>
      </c>
      <c r="B158" s="141">
        <f t="shared" si="10"/>
        <v>2416392.4786285474</v>
      </c>
      <c r="C158" s="141">
        <f t="shared" si="11"/>
        <v>10712.673321919894</v>
      </c>
      <c r="D158" s="141">
        <f t="shared" si="12"/>
        <v>6695.7240859613921</v>
      </c>
      <c r="E158" s="141">
        <f t="shared" si="13"/>
        <v>17408.397407881286</v>
      </c>
      <c r="F158" s="141">
        <f t="shared" si="14"/>
        <v>2409696.7545425859</v>
      </c>
    </row>
    <row r="159" spans="1:6" x14ac:dyDescent="0.2">
      <c r="A159" s="146">
        <v>146</v>
      </c>
      <c r="B159" s="141">
        <f t="shared" si="10"/>
        <v>2409696.7545425859</v>
      </c>
      <c r="C159" s="141">
        <f t="shared" si="11"/>
        <v>10682.988945138797</v>
      </c>
      <c r="D159" s="141">
        <f t="shared" si="12"/>
        <v>6725.4084627424891</v>
      </c>
      <c r="E159" s="141">
        <f t="shared" si="13"/>
        <v>17408.397407881286</v>
      </c>
      <c r="F159" s="141">
        <f t="shared" si="14"/>
        <v>2402971.3460798436</v>
      </c>
    </row>
    <row r="160" spans="1:6" x14ac:dyDescent="0.2">
      <c r="A160" s="146">
        <v>147</v>
      </c>
      <c r="B160" s="141">
        <f t="shared" si="10"/>
        <v>2402971.3460798436</v>
      </c>
      <c r="C160" s="141">
        <f t="shared" si="11"/>
        <v>10653.17296762064</v>
      </c>
      <c r="D160" s="141">
        <f t="shared" si="12"/>
        <v>6755.2244402606466</v>
      </c>
      <c r="E160" s="141">
        <f t="shared" si="13"/>
        <v>17408.397407881286</v>
      </c>
      <c r="F160" s="141">
        <f t="shared" si="14"/>
        <v>2396216.1216395828</v>
      </c>
    </row>
    <row r="161" spans="1:6" x14ac:dyDescent="0.2">
      <c r="A161" s="146">
        <v>148</v>
      </c>
      <c r="B161" s="141">
        <f t="shared" si="10"/>
        <v>2396216.1216395828</v>
      </c>
      <c r="C161" s="141">
        <f t="shared" si="11"/>
        <v>10623.224805935484</v>
      </c>
      <c r="D161" s="141">
        <f t="shared" si="12"/>
        <v>6785.1726019458019</v>
      </c>
      <c r="E161" s="141">
        <f t="shared" si="13"/>
        <v>17408.397407881286</v>
      </c>
      <c r="F161" s="141">
        <f t="shared" si="14"/>
        <v>2389430.9490376371</v>
      </c>
    </row>
    <row r="162" spans="1:6" x14ac:dyDescent="0.2">
      <c r="A162" s="146">
        <v>149</v>
      </c>
      <c r="B162" s="141">
        <f t="shared" si="10"/>
        <v>2389430.9490376371</v>
      </c>
      <c r="C162" s="141">
        <f t="shared" si="11"/>
        <v>10593.143874066858</v>
      </c>
      <c r="D162" s="141">
        <f t="shared" si="12"/>
        <v>6815.253533814428</v>
      </c>
      <c r="E162" s="141">
        <f t="shared" si="13"/>
        <v>17408.397407881286</v>
      </c>
      <c r="F162" s="141">
        <f t="shared" si="14"/>
        <v>2382615.6955038225</v>
      </c>
    </row>
    <row r="163" spans="1:6" x14ac:dyDescent="0.2">
      <c r="A163" s="146">
        <v>150</v>
      </c>
      <c r="B163" s="141">
        <f t="shared" si="10"/>
        <v>2382615.6955038225</v>
      </c>
      <c r="C163" s="141">
        <f t="shared" si="11"/>
        <v>10562.929583400281</v>
      </c>
      <c r="D163" s="141">
        <f t="shared" si="12"/>
        <v>6845.4678244810057</v>
      </c>
      <c r="E163" s="141">
        <f t="shared" si="13"/>
        <v>17408.397407881286</v>
      </c>
      <c r="F163" s="141">
        <f t="shared" si="14"/>
        <v>2375770.2276793416</v>
      </c>
    </row>
    <row r="164" spans="1:6" x14ac:dyDescent="0.2">
      <c r="A164" s="146">
        <v>151</v>
      </c>
      <c r="B164" s="141">
        <f t="shared" si="10"/>
        <v>2375770.2276793416</v>
      </c>
      <c r="C164" s="141">
        <f t="shared" si="11"/>
        <v>10532.581342711748</v>
      </c>
      <c r="D164" s="141">
        <f t="shared" si="12"/>
        <v>6875.816065169538</v>
      </c>
      <c r="E164" s="141">
        <f t="shared" si="13"/>
        <v>17408.397407881286</v>
      </c>
      <c r="F164" s="141">
        <f t="shared" si="14"/>
        <v>2368894.4116141722</v>
      </c>
    </row>
    <row r="165" spans="1:6" x14ac:dyDescent="0.2">
      <c r="A165" s="146">
        <v>152</v>
      </c>
      <c r="B165" s="141">
        <f t="shared" si="10"/>
        <v>2368894.4116141722</v>
      </c>
      <c r="C165" s="141">
        <f t="shared" si="11"/>
        <v>10502.098558156164</v>
      </c>
      <c r="D165" s="141">
        <f t="shared" si="12"/>
        <v>6906.2988497251226</v>
      </c>
      <c r="E165" s="141">
        <f t="shared" si="13"/>
        <v>17408.397407881286</v>
      </c>
      <c r="F165" s="141">
        <f t="shared" si="14"/>
        <v>2361988.112764447</v>
      </c>
    </row>
    <row r="166" spans="1:6" x14ac:dyDescent="0.2">
      <c r="A166" s="146">
        <v>153</v>
      </c>
      <c r="B166" s="141">
        <f t="shared" si="10"/>
        <v>2361988.112764447</v>
      </c>
      <c r="C166" s="141">
        <f t="shared" si="11"/>
        <v>10471.480633255715</v>
      </c>
      <c r="D166" s="141">
        <f t="shared" si="12"/>
        <v>6936.9167746255716</v>
      </c>
      <c r="E166" s="141">
        <f t="shared" si="13"/>
        <v>17408.397407881286</v>
      </c>
      <c r="F166" s="141">
        <f t="shared" si="14"/>
        <v>2355051.1959898216</v>
      </c>
    </row>
    <row r="167" spans="1:6" x14ac:dyDescent="0.2">
      <c r="A167" s="146">
        <v>154</v>
      </c>
      <c r="B167" s="141">
        <f t="shared" si="10"/>
        <v>2355051.1959898216</v>
      </c>
      <c r="C167" s="141">
        <f t="shared" si="11"/>
        <v>10440.72696888821</v>
      </c>
      <c r="D167" s="141">
        <f t="shared" si="12"/>
        <v>6967.6704389930765</v>
      </c>
      <c r="E167" s="141">
        <f t="shared" si="13"/>
        <v>17408.397407881286</v>
      </c>
      <c r="F167" s="141">
        <f t="shared" si="14"/>
        <v>2348083.5255508283</v>
      </c>
    </row>
    <row r="168" spans="1:6" x14ac:dyDescent="0.2">
      <c r="A168" s="146">
        <v>155</v>
      </c>
      <c r="B168" s="141">
        <f t="shared" si="10"/>
        <v>2348083.5255508283</v>
      </c>
      <c r="C168" s="141">
        <f t="shared" si="11"/>
        <v>10409.836963275338</v>
      </c>
      <c r="D168" s="141">
        <f t="shared" si="12"/>
        <v>6998.5604446059479</v>
      </c>
      <c r="E168" s="141">
        <f t="shared" si="13"/>
        <v>17408.397407881286</v>
      </c>
      <c r="F168" s="141">
        <f t="shared" si="14"/>
        <v>2341084.9651062223</v>
      </c>
    </row>
    <row r="169" spans="1:6" x14ac:dyDescent="0.2">
      <c r="A169" s="146">
        <v>156</v>
      </c>
      <c r="B169" s="141">
        <f t="shared" si="10"/>
        <v>2341084.9651062223</v>
      </c>
      <c r="C169" s="141">
        <f t="shared" si="11"/>
        <v>10378.81001197092</v>
      </c>
      <c r="D169" s="141">
        <f t="shared" si="12"/>
        <v>7029.5873959103665</v>
      </c>
      <c r="E169" s="141">
        <f t="shared" si="13"/>
        <v>17408.397407881286</v>
      </c>
      <c r="F169" s="141">
        <f t="shared" si="14"/>
        <v>2334055.3777103121</v>
      </c>
    </row>
    <row r="170" spans="1:6" x14ac:dyDescent="0.2">
      <c r="A170" s="146">
        <v>157</v>
      </c>
      <c r="B170" s="141">
        <f t="shared" si="10"/>
        <v>2334055.3777103121</v>
      </c>
      <c r="C170" s="141">
        <f t="shared" si="11"/>
        <v>10347.645507849051</v>
      </c>
      <c r="D170" s="141">
        <f t="shared" si="12"/>
        <v>7060.7519000322354</v>
      </c>
      <c r="E170" s="141">
        <f t="shared" si="13"/>
        <v>17408.397407881286</v>
      </c>
      <c r="F170" s="141">
        <f t="shared" si="14"/>
        <v>2326994.62581028</v>
      </c>
    </row>
    <row r="171" spans="1:6" x14ac:dyDescent="0.2">
      <c r="A171" s="146">
        <v>158</v>
      </c>
      <c r="B171" s="141">
        <f t="shared" si="10"/>
        <v>2326994.62581028</v>
      </c>
      <c r="C171" s="141">
        <f t="shared" si="11"/>
        <v>10316.342841092241</v>
      </c>
      <c r="D171" s="141">
        <f t="shared" si="12"/>
        <v>7092.0545667890456</v>
      </c>
      <c r="E171" s="141">
        <f t="shared" si="13"/>
        <v>17408.397407881286</v>
      </c>
      <c r="F171" s="141">
        <f t="shared" si="14"/>
        <v>2319902.571243491</v>
      </c>
    </row>
    <row r="172" spans="1:6" x14ac:dyDescent="0.2">
      <c r="A172" s="146">
        <v>159</v>
      </c>
      <c r="B172" s="141">
        <f t="shared" si="10"/>
        <v>2319902.571243491</v>
      </c>
      <c r="C172" s="141">
        <f t="shared" si="11"/>
        <v>10284.901399179476</v>
      </c>
      <c r="D172" s="141">
        <f t="shared" si="12"/>
        <v>7123.4960087018098</v>
      </c>
      <c r="E172" s="141">
        <f t="shared" si="13"/>
        <v>17408.397407881286</v>
      </c>
      <c r="F172" s="141">
        <f t="shared" si="14"/>
        <v>2312779.0752347894</v>
      </c>
    </row>
    <row r="173" spans="1:6" x14ac:dyDescent="0.2">
      <c r="A173" s="146">
        <v>160</v>
      </c>
      <c r="B173" s="141">
        <f t="shared" si="10"/>
        <v>2312779.0752347894</v>
      </c>
      <c r="C173" s="141">
        <f t="shared" si="11"/>
        <v>10253.320566874234</v>
      </c>
      <c r="D173" s="141">
        <f t="shared" si="12"/>
        <v>7155.0768410070523</v>
      </c>
      <c r="E173" s="141">
        <f t="shared" si="13"/>
        <v>17408.397407881286</v>
      </c>
      <c r="F173" s="141">
        <f t="shared" si="14"/>
        <v>2305623.9983937824</v>
      </c>
    </row>
    <row r="174" spans="1:6" x14ac:dyDescent="0.2">
      <c r="A174" s="146">
        <v>161</v>
      </c>
      <c r="B174" s="141">
        <f t="shared" si="10"/>
        <v>2305623.9983937824</v>
      </c>
      <c r="C174" s="141">
        <f t="shared" si="11"/>
        <v>10221.599726212435</v>
      </c>
      <c r="D174" s="141">
        <f t="shared" si="12"/>
        <v>7186.7976816688515</v>
      </c>
      <c r="E174" s="141">
        <f t="shared" si="13"/>
        <v>17408.397407881286</v>
      </c>
      <c r="F174" s="141">
        <f t="shared" si="14"/>
        <v>2298437.2007121136</v>
      </c>
    </row>
    <row r="175" spans="1:6" x14ac:dyDescent="0.2">
      <c r="A175" s="146">
        <v>162</v>
      </c>
      <c r="B175" s="141">
        <f t="shared" si="10"/>
        <v>2298437.2007121136</v>
      </c>
      <c r="C175" s="141">
        <f t="shared" si="11"/>
        <v>10189.738256490371</v>
      </c>
      <c r="D175" s="141">
        <f t="shared" si="12"/>
        <v>7218.6591513909152</v>
      </c>
      <c r="E175" s="141">
        <f t="shared" si="13"/>
        <v>17408.397407881286</v>
      </c>
      <c r="F175" s="141">
        <f t="shared" si="14"/>
        <v>2291218.5415607225</v>
      </c>
    </row>
    <row r="176" spans="1:6" x14ac:dyDescent="0.2">
      <c r="A176" s="146">
        <v>163</v>
      </c>
      <c r="B176" s="141">
        <f t="shared" si="10"/>
        <v>2291218.5415607225</v>
      </c>
      <c r="C176" s="141">
        <f t="shared" si="11"/>
        <v>10157.735534252537</v>
      </c>
      <c r="D176" s="141">
        <f t="shared" si="12"/>
        <v>7250.6618736287492</v>
      </c>
      <c r="E176" s="141">
        <f t="shared" si="13"/>
        <v>17408.397407881286</v>
      </c>
      <c r="F176" s="141">
        <f t="shared" si="14"/>
        <v>2283967.8796870937</v>
      </c>
    </row>
    <row r="177" spans="1:6" x14ac:dyDescent="0.2">
      <c r="A177" s="146">
        <v>164</v>
      </c>
      <c r="B177" s="141">
        <f t="shared" si="10"/>
        <v>2283967.8796870937</v>
      </c>
      <c r="C177" s="141">
        <f t="shared" si="11"/>
        <v>10125.590933279449</v>
      </c>
      <c r="D177" s="141">
        <f t="shared" si="12"/>
        <v>7282.8064746018372</v>
      </c>
      <c r="E177" s="141">
        <f t="shared" si="13"/>
        <v>17408.397407881286</v>
      </c>
      <c r="F177" s="141">
        <f t="shared" si="14"/>
        <v>2276685.0732124918</v>
      </c>
    </row>
    <row r="178" spans="1:6" x14ac:dyDescent="0.2">
      <c r="A178" s="146">
        <v>165</v>
      </c>
      <c r="B178" s="141">
        <f t="shared" si="10"/>
        <v>2276685.0732124918</v>
      </c>
      <c r="C178" s="141">
        <f t="shared" si="11"/>
        <v>10093.30382457538</v>
      </c>
      <c r="D178" s="141">
        <f t="shared" si="12"/>
        <v>7315.0935833059066</v>
      </c>
      <c r="E178" s="141">
        <f t="shared" si="13"/>
        <v>17408.397407881286</v>
      </c>
      <c r="F178" s="141">
        <f t="shared" si="14"/>
        <v>2269369.979629186</v>
      </c>
    </row>
    <row r="179" spans="1:6" x14ac:dyDescent="0.2">
      <c r="A179" s="146">
        <v>166</v>
      </c>
      <c r="B179" s="141">
        <f t="shared" si="10"/>
        <v>2269369.979629186</v>
      </c>
      <c r="C179" s="141">
        <f t="shared" si="11"/>
        <v>10060.873576356058</v>
      </c>
      <c r="D179" s="141">
        <f t="shared" si="12"/>
        <v>7347.5238315252282</v>
      </c>
      <c r="E179" s="141">
        <f t="shared" si="13"/>
        <v>17408.397407881286</v>
      </c>
      <c r="F179" s="141">
        <f t="shared" si="14"/>
        <v>2262022.4557976606</v>
      </c>
    </row>
    <row r="180" spans="1:6" x14ac:dyDescent="0.2">
      <c r="A180" s="146">
        <v>167</v>
      </c>
      <c r="B180" s="141">
        <f t="shared" si="10"/>
        <v>2262022.4557976606</v>
      </c>
      <c r="C180" s="141">
        <f t="shared" si="11"/>
        <v>10028.299554036295</v>
      </c>
      <c r="D180" s="141">
        <f t="shared" si="12"/>
        <v>7380.0978538449908</v>
      </c>
      <c r="E180" s="141">
        <f t="shared" si="13"/>
        <v>17408.397407881286</v>
      </c>
      <c r="F180" s="141">
        <f t="shared" si="14"/>
        <v>2254642.3579438156</v>
      </c>
    </row>
    <row r="181" spans="1:6" x14ac:dyDescent="0.2">
      <c r="A181" s="146">
        <v>168</v>
      </c>
      <c r="B181" s="141">
        <f t="shared" si="10"/>
        <v>2254642.3579438156</v>
      </c>
      <c r="C181" s="141">
        <f t="shared" si="11"/>
        <v>9995.5811202175828</v>
      </c>
      <c r="D181" s="141">
        <f t="shared" si="12"/>
        <v>7412.8162876637034</v>
      </c>
      <c r="E181" s="141">
        <f t="shared" si="13"/>
        <v>17408.397407881286</v>
      </c>
      <c r="F181" s="141">
        <f t="shared" si="14"/>
        <v>2247229.5416561519</v>
      </c>
    </row>
    <row r="182" spans="1:6" x14ac:dyDescent="0.2">
      <c r="A182" s="146">
        <v>169</v>
      </c>
      <c r="B182" s="141">
        <f t="shared" si="10"/>
        <v>2247229.5416561519</v>
      </c>
      <c r="C182" s="141">
        <f t="shared" si="11"/>
        <v>9962.717634675606</v>
      </c>
      <c r="D182" s="141">
        <f t="shared" si="12"/>
        <v>7445.6797732056802</v>
      </c>
      <c r="E182" s="141">
        <f t="shared" si="13"/>
        <v>17408.397407881286</v>
      </c>
      <c r="F182" s="141">
        <f t="shared" si="14"/>
        <v>2239783.861882946</v>
      </c>
    </row>
    <row r="183" spans="1:6" x14ac:dyDescent="0.2">
      <c r="A183" s="146">
        <v>170</v>
      </c>
      <c r="B183" s="141">
        <f t="shared" si="10"/>
        <v>2239783.861882946</v>
      </c>
      <c r="C183" s="141">
        <f t="shared" si="11"/>
        <v>9929.7084543477267</v>
      </c>
      <c r="D183" s="141">
        <f t="shared" si="12"/>
        <v>7478.6889535335595</v>
      </c>
      <c r="E183" s="141">
        <f t="shared" si="13"/>
        <v>17408.397407881286</v>
      </c>
      <c r="F183" s="141">
        <f t="shared" si="14"/>
        <v>2232305.1729294122</v>
      </c>
    </row>
    <row r="184" spans="1:6" x14ac:dyDescent="0.2">
      <c r="A184" s="146">
        <v>171</v>
      </c>
      <c r="B184" s="141">
        <f t="shared" si="10"/>
        <v>2232305.1729294122</v>
      </c>
      <c r="C184" s="141">
        <f t="shared" si="11"/>
        <v>9896.552933320394</v>
      </c>
      <c r="D184" s="141">
        <f t="shared" si="12"/>
        <v>7511.8444745608922</v>
      </c>
      <c r="E184" s="141">
        <f t="shared" si="13"/>
        <v>17408.397407881286</v>
      </c>
      <c r="F184" s="141">
        <f t="shared" si="14"/>
        <v>2224793.3284548512</v>
      </c>
    </row>
    <row r="185" spans="1:6" x14ac:dyDescent="0.2">
      <c r="A185" s="146">
        <v>172</v>
      </c>
      <c r="B185" s="141">
        <f t="shared" si="10"/>
        <v>2224793.3284548512</v>
      </c>
      <c r="C185" s="141">
        <f t="shared" si="11"/>
        <v>9863.2504228165071</v>
      </c>
      <c r="D185" s="141">
        <f t="shared" si="12"/>
        <v>7545.1469850647791</v>
      </c>
      <c r="E185" s="141">
        <f t="shared" si="13"/>
        <v>17408.397407881286</v>
      </c>
      <c r="F185" s="141">
        <f t="shared" si="14"/>
        <v>2217248.1814697864</v>
      </c>
    </row>
    <row r="186" spans="1:6" x14ac:dyDescent="0.2">
      <c r="A186" s="146">
        <v>173</v>
      </c>
      <c r="B186" s="141">
        <f t="shared" si="10"/>
        <v>2217248.1814697864</v>
      </c>
      <c r="C186" s="141">
        <f t="shared" si="11"/>
        <v>9829.8002711827194</v>
      </c>
      <c r="D186" s="141">
        <f t="shared" si="12"/>
        <v>7578.5971366985668</v>
      </c>
      <c r="E186" s="141">
        <f t="shared" si="13"/>
        <v>17408.397407881286</v>
      </c>
      <c r="F186" s="141">
        <f t="shared" si="14"/>
        <v>2209669.5843330878</v>
      </c>
    </row>
    <row r="187" spans="1:6" x14ac:dyDescent="0.2">
      <c r="A187" s="146">
        <v>174</v>
      </c>
      <c r="B187" s="141">
        <f t="shared" si="10"/>
        <v>2209669.5843330878</v>
      </c>
      <c r="C187" s="141">
        <f t="shared" si="11"/>
        <v>9796.2018238766886</v>
      </c>
      <c r="D187" s="141">
        <f t="shared" si="12"/>
        <v>7612.1955840045975</v>
      </c>
      <c r="E187" s="141">
        <f t="shared" si="13"/>
        <v>17408.397407881286</v>
      </c>
      <c r="F187" s="141">
        <f t="shared" si="14"/>
        <v>2202057.388749083</v>
      </c>
    </row>
    <row r="188" spans="1:6" x14ac:dyDescent="0.2">
      <c r="A188" s="146">
        <v>175</v>
      </c>
      <c r="B188" s="141">
        <f t="shared" si="10"/>
        <v>2202057.388749083</v>
      </c>
      <c r="C188" s="141">
        <f t="shared" si="11"/>
        <v>9762.4544234542682</v>
      </c>
      <c r="D188" s="141">
        <f t="shared" si="12"/>
        <v>7645.942984427018</v>
      </c>
      <c r="E188" s="141">
        <f t="shared" si="13"/>
        <v>17408.397407881286</v>
      </c>
      <c r="F188" s="141">
        <f t="shared" si="14"/>
        <v>2194411.4457646562</v>
      </c>
    </row>
    <row r="189" spans="1:6" x14ac:dyDescent="0.2">
      <c r="A189" s="146">
        <v>176</v>
      </c>
      <c r="B189" s="141">
        <f t="shared" si="10"/>
        <v>2194411.4457646562</v>
      </c>
      <c r="C189" s="141">
        <f t="shared" si="11"/>
        <v>9728.5574095566426</v>
      </c>
      <c r="D189" s="141">
        <f t="shared" si="12"/>
        <v>7679.8399983246436</v>
      </c>
      <c r="E189" s="141">
        <f t="shared" si="13"/>
        <v>17408.397407881286</v>
      </c>
      <c r="F189" s="141">
        <f t="shared" si="14"/>
        <v>2186731.6057663313</v>
      </c>
    </row>
    <row r="190" spans="1:6" x14ac:dyDescent="0.2">
      <c r="A190" s="146">
        <v>177</v>
      </c>
      <c r="B190" s="141">
        <f t="shared" si="10"/>
        <v>2186731.6057663313</v>
      </c>
      <c r="C190" s="141">
        <f t="shared" si="11"/>
        <v>9694.5101188974022</v>
      </c>
      <c r="D190" s="141">
        <f t="shared" si="12"/>
        <v>7713.887288983884</v>
      </c>
      <c r="E190" s="141">
        <f t="shared" si="13"/>
        <v>17408.397407881286</v>
      </c>
      <c r="F190" s="141">
        <f t="shared" si="14"/>
        <v>2179017.7184773474</v>
      </c>
    </row>
    <row r="191" spans="1:6" x14ac:dyDescent="0.2">
      <c r="A191" s="146">
        <v>178</v>
      </c>
      <c r="B191" s="141">
        <f t="shared" si="10"/>
        <v>2179017.7184773474</v>
      </c>
      <c r="C191" s="141">
        <f t="shared" si="11"/>
        <v>9660.3118852495736</v>
      </c>
      <c r="D191" s="141">
        <f t="shared" si="12"/>
        <v>7748.0855226317126</v>
      </c>
      <c r="E191" s="141">
        <f t="shared" si="13"/>
        <v>17408.397407881286</v>
      </c>
      <c r="F191" s="141">
        <f t="shared" si="14"/>
        <v>2171269.6329547158</v>
      </c>
    </row>
    <row r="192" spans="1:6" x14ac:dyDescent="0.2">
      <c r="A192" s="146">
        <v>179</v>
      </c>
      <c r="B192" s="141">
        <f t="shared" si="10"/>
        <v>2171269.6329547158</v>
      </c>
      <c r="C192" s="141">
        <f t="shared" si="11"/>
        <v>9625.9620394325739</v>
      </c>
      <c r="D192" s="141">
        <f t="shared" si="12"/>
        <v>7782.4353684487123</v>
      </c>
      <c r="E192" s="141">
        <f t="shared" si="13"/>
        <v>17408.397407881286</v>
      </c>
      <c r="F192" s="141">
        <f t="shared" si="14"/>
        <v>2163487.1975862673</v>
      </c>
    </row>
    <row r="193" spans="1:6" x14ac:dyDescent="0.2">
      <c r="A193" s="146">
        <v>180</v>
      </c>
      <c r="B193" s="141">
        <f t="shared" si="10"/>
        <v>2163487.1975862673</v>
      </c>
      <c r="C193" s="141">
        <f t="shared" si="11"/>
        <v>9591.4599092991175</v>
      </c>
      <c r="D193" s="141">
        <f t="shared" si="12"/>
        <v>7816.9374985821687</v>
      </c>
      <c r="E193" s="141">
        <f t="shared" si="13"/>
        <v>17408.397407881286</v>
      </c>
      <c r="F193" s="141">
        <f t="shared" si="14"/>
        <v>2155670.2600876852</v>
      </c>
    </row>
    <row r="194" spans="1:6" x14ac:dyDescent="0.2">
      <c r="A194" s="146">
        <v>181</v>
      </c>
      <c r="B194" s="141">
        <f t="shared" si="10"/>
        <v>2155670.2600876852</v>
      </c>
      <c r="C194" s="141">
        <f t="shared" si="11"/>
        <v>9556.8048197220705</v>
      </c>
      <c r="D194" s="141">
        <f t="shared" si="12"/>
        <v>7851.5925881592157</v>
      </c>
      <c r="E194" s="141">
        <f t="shared" si="13"/>
        <v>17408.397407881286</v>
      </c>
      <c r="F194" s="141">
        <f t="shared" si="14"/>
        <v>2147818.6674995259</v>
      </c>
    </row>
    <row r="195" spans="1:6" x14ac:dyDescent="0.2">
      <c r="A195" s="146">
        <v>182</v>
      </c>
      <c r="B195" s="141">
        <f t="shared" si="10"/>
        <v>2147818.6674995259</v>
      </c>
      <c r="C195" s="141">
        <f t="shared" si="11"/>
        <v>9521.996092581232</v>
      </c>
      <c r="D195" s="141">
        <f t="shared" si="12"/>
        <v>7886.4013153000542</v>
      </c>
      <c r="E195" s="141">
        <f t="shared" si="13"/>
        <v>17408.397407881286</v>
      </c>
      <c r="F195" s="141">
        <f t="shared" si="14"/>
        <v>2139932.2661842257</v>
      </c>
    </row>
    <row r="196" spans="1:6" x14ac:dyDescent="0.2">
      <c r="A196" s="146">
        <v>183</v>
      </c>
      <c r="B196" s="141">
        <f t="shared" si="10"/>
        <v>2139932.2661842257</v>
      </c>
      <c r="C196" s="141">
        <f t="shared" si="11"/>
        <v>9487.033046750068</v>
      </c>
      <c r="D196" s="141">
        <f t="shared" si="12"/>
        <v>7921.3643611312182</v>
      </c>
      <c r="E196" s="141">
        <f t="shared" si="13"/>
        <v>17408.397407881286</v>
      </c>
      <c r="F196" s="141">
        <f t="shared" si="14"/>
        <v>2132010.9018230946</v>
      </c>
    </row>
    <row r="197" spans="1:6" x14ac:dyDescent="0.2">
      <c r="A197" s="146">
        <v>184</v>
      </c>
      <c r="B197" s="141">
        <f t="shared" si="10"/>
        <v>2132010.9018230946</v>
      </c>
      <c r="C197" s="141">
        <f t="shared" si="11"/>
        <v>9451.9149980823859</v>
      </c>
      <c r="D197" s="141">
        <f t="shared" si="12"/>
        <v>7956.4824097989003</v>
      </c>
      <c r="E197" s="141">
        <f t="shared" si="13"/>
        <v>17408.397407881286</v>
      </c>
      <c r="F197" s="141">
        <f t="shared" si="14"/>
        <v>2124054.4194132956</v>
      </c>
    </row>
    <row r="198" spans="1:6" x14ac:dyDescent="0.2">
      <c r="A198" s="146">
        <v>185</v>
      </c>
      <c r="B198" s="141">
        <f t="shared" si="10"/>
        <v>2124054.4194132956</v>
      </c>
      <c r="C198" s="141">
        <f t="shared" si="11"/>
        <v>9416.6412593989444</v>
      </c>
      <c r="D198" s="141">
        <f t="shared" si="12"/>
        <v>7991.7561484823418</v>
      </c>
      <c r="E198" s="141">
        <f t="shared" si="13"/>
        <v>17408.397407881286</v>
      </c>
      <c r="F198" s="141">
        <f t="shared" si="14"/>
        <v>2116062.6632648134</v>
      </c>
    </row>
    <row r="199" spans="1:6" x14ac:dyDescent="0.2">
      <c r="A199" s="146">
        <v>186</v>
      </c>
      <c r="B199" s="141">
        <f t="shared" si="10"/>
        <v>2116062.6632648134</v>
      </c>
      <c r="C199" s="141">
        <f t="shared" si="11"/>
        <v>9381.2111404740062</v>
      </c>
      <c r="D199" s="141">
        <f t="shared" si="12"/>
        <v>8027.18626740728</v>
      </c>
      <c r="E199" s="141">
        <f t="shared" si="13"/>
        <v>17408.397407881286</v>
      </c>
      <c r="F199" s="141">
        <f t="shared" si="14"/>
        <v>2108035.4769974062</v>
      </c>
    </row>
    <row r="200" spans="1:6" x14ac:dyDescent="0.2">
      <c r="A200" s="146">
        <v>187</v>
      </c>
      <c r="B200" s="141">
        <f t="shared" si="10"/>
        <v>2108035.4769974062</v>
      </c>
      <c r="C200" s="141">
        <f t="shared" si="11"/>
        <v>9345.6239480218337</v>
      </c>
      <c r="D200" s="141">
        <f t="shared" si="12"/>
        <v>8062.7734598594525</v>
      </c>
      <c r="E200" s="141">
        <f t="shared" si="13"/>
        <v>17408.397407881286</v>
      </c>
      <c r="F200" s="141">
        <f t="shared" si="14"/>
        <v>2099972.7035375466</v>
      </c>
    </row>
    <row r="201" spans="1:6" x14ac:dyDescent="0.2">
      <c r="A201" s="146">
        <v>188</v>
      </c>
      <c r="B201" s="141">
        <f t="shared" si="10"/>
        <v>2099972.7035375466</v>
      </c>
      <c r="C201" s="141">
        <f t="shared" si="11"/>
        <v>9309.8789856831227</v>
      </c>
      <c r="D201" s="141">
        <f t="shared" si="12"/>
        <v>8098.5184221981635</v>
      </c>
      <c r="E201" s="141">
        <f t="shared" si="13"/>
        <v>17408.397407881286</v>
      </c>
      <c r="F201" s="141">
        <f t="shared" si="14"/>
        <v>2091874.1851153483</v>
      </c>
    </row>
    <row r="202" spans="1:6" x14ac:dyDescent="0.2">
      <c r="A202" s="146">
        <v>189</v>
      </c>
      <c r="B202" s="141">
        <f t="shared" si="10"/>
        <v>2091874.1851153483</v>
      </c>
      <c r="C202" s="141">
        <f t="shared" si="11"/>
        <v>9273.9755540113783</v>
      </c>
      <c r="D202" s="141">
        <f t="shared" si="12"/>
        <v>8134.4218538699079</v>
      </c>
      <c r="E202" s="141">
        <f t="shared" si="13"/>
        <v>17408.397407881286</v>
      </c>
      <c r="F202" s="141">
        <f t="shared" si="14"/>
        <v>2083739.7632614784</v>
      </c>
    </row>
    <row r="203" spans="1:6" x14ac:dyDescent="0.2">
      <c r="A203" s="146">
        <v>190</v>
      </c>
      <c r="B203" s="141">
        <f t="shared" si="10"/>
        <v>2083739.7632614784</v>
      </c>
      <c r="C203" s="141">
        <f t="shared" si="11"/>
        <v>9237.9129504592202</v>
      </c>
      <c r="D203" s="141">
        <f t="shared" si="12"/>
        <v>8170.484457422066</v>
      </c>
      <c r="E203" s="141">
        <f t="shared" si="13"/>
        <v>17408.397407881286</v>
      </c>
      <c r="F203" s="141">
        <f t="shared" si="14"/>
        <v>2075569.2788040563</v>
      </c>
    </row>
    <row r="204" spans="1:6" x14ac:dyDescent="0.2">
      <c r="A204" s="146">
        <v>191</v>
      </c>
      <c r="B204" s="141">
        <f t="shared" si="10"/>
        <v>2075569.2788040563</v>
      </c>
      <c r="C204" s="141">
        <f t="shared" si="11"/>
        <v>9201.6904693646502</v>
      </c>
      <c r="D204" s="141">
        <f t="shared" si="12"/>
        <v>8206.706938516636</v>
      </c>
      <c r="E204" s="141">
        <f t="shared" si="13"/>
        <v>17408.397407881286</v>
      </c>
      <c r="F204" s="141">
        <f t="shared" si="14"/>
        <v>2067362.5718655398</v>
      </c>
    </row>
    <row r="205" spans="1:6" x14ac:dyDescent="0.2">
      <c r="A205" s="146">
        <v>192</v>
      </c>
      <c r="B205" s="141">
        <f t="shared" si="10"/>
        <v>2067362.5718655398</v>
      </c>
      <c r="C205" s="141">
        <f t="shared" si="11"/>
        <v>9165.307401937227</v>
      </c>
      <c r="D205" s="141">
        <f t="shared" si="12"/>
        <v>8243.0900059440592</v>
      </c>
      <c r="E205" s="141">
        <f t="shared" si="13"/>
        <v>17408.397407881286</v>
      </c>
      <c r="F205" s="141">
        <f t="shared" si="14"/>
        <v>2059119.4818595957</v>
      </c>
    </row>
    <row r="206" spans="1:6" x14ac:dyDescent="0.2">
      <c r="A206" s="146">
        <v>193</v>
      </c>
      <c r="B206" s="141">
        <f t="shared" si="10"/>
        <v>2059119.4818595957</v>
      </c>
      <c r="C206" s="141">
        <f t="shared" si="11"/>
        <v>9128.7630362442087</v>
      </c>
      <c r="D206" s="141">
        <f t="shared" si="12"/>
        <v>8279.6343716370775</v>
      </c>
      <c r="E206" s="141">
        <f t="shared" si="13"/>
        <v>17408.397407881286</v>
      </c>
      <c r="F206" s="141">
        <f t="shared" si="14"/>
        <v>2050839.8474879586</v>
      </c>
    </row>
    <row r="207" spans="1:6" x14ac:dyDescent="0.2">
      <c r="A207" s="146">
        <v>194</v>
      </c>
      <c r="B207" s="141">
        <f t="shared" si="10"/>
        <v>2050839.8474879586</v>
      </c>
      <c r="C207" s="141">
        <f t="shared" si="11"/>
        <v>9092.0566571966174</v>
      </c>
      <c r="D207" s="141">
        <f t="shared" si="12"/>
        <v>8316.3407506846688</v>
      </c>
      <c r="E207" s="141">
        <f t="shared" si="13"/>
        <v>17408.397407881286</v>
      </c>
      <c r="F207" s="141">
        <f t="shared" si="14"/>
        <v>2042523.5067372739</v>
      </c>
    </row>
    <row r="208" spans="1:6" x14ac:dyDescent="0.2">
      <c r="A208" s="146">
        <v>195</v>
      </c>
      <c r="B208" s="141">
        <f t="shared" ref="B208:B271" si="15">F207</f>
        <v>2042523.5067372739</v>
      </c>
      <c r="C208" s="141">
        <f t="shared" ref="C208:C271" si="16">B208*($B$3/12)</f>
        <v>9055.1875465352477</v>
      </c>
      <c r="D208" s="141">
        <f t="shared" ref="D208:D271" si="17">E208-C208</f>
        <v>8353.2098613460385</v>
      </c>
      <c r="E208" s="141">
        <f t="shared" ref="E208:E271" si="18">PMT($B$3/12,$B$5*12,-$B$2)</f>
        <v>17408.397407881286</v>
      </c>
      <c r="F208" s="141">
        <f t="shared" ref="F208:F271" si="19">B208-D208</f>
        <v>2034170.2968759278</v>
      </c>
    </row>
    <row r="209" spans="1:6" x14ac:dyDescent="0.2">
      <c r="A209" s="146">
        <v>196</v>
      </c>
      <c r="B209" s="141">
        <f t="shared" si="15"/>
        <v>2034170.2968759278</v>
      </c>
      <c r="C209" s="141">
        <f t="shared" si="16"/>
        <v>9018.1549828166135</v>
      </c>
      <c r="D209" s="141">
        <f t="shared" si="17"/>
        <v>8390.2424250646727</v>
      </c>
      <c r="E209" s="141">
        <f t="shared" si="18"/>
        <v>17408.397407881286</v>
      </c>
      <c r="F209" s="141">
        <f t="shared" si="19"/>
        <v>2025780.054450863</v>
      </c>
    </row>
    <row r="210" spans="1:6" x14ac:dyDescent="0.2">
      <c r="A210" s="146">
        <v>197</v>
      </c>
      <c r="B210" s="141">
        <f t="shared" si="15"/>
        <v>2025780.054450863</v>
      </c>
      <c r="C210" s="141">
        <f t="shared" si="16"/>
        <v>8980.9582413988264</v>
      </c>
      <c r="D210" s="141">
        <f t="shared" si="17"/>
        <v>8427.4391664824598</v>
      </c>
      <c r="E210" s="141">
        <f t="shared" si="18"/>
        <v>17408.397407881286</v>
      </c>
      <c r="F210" s="141">
        <f t="shared" si="19"/>
        <v>2017352.6152843805</v>
      </c>
    </row>
    <row r="211" spans="1:6" x14ac:dyDescent="0.2">
      <c r="A211" s="146">
        <v>198</v>
      </c>
      <c r="B211" s="141">
        <f t="shared" si="15"/>
        <v>2017352.6152843805</v>
      </c>
      <c r="C211" s="141">
        <f t="shared" si="16"/>
        <v>8943.5965944274212</v>
      </c>
      <c r="D211" s="141">
        <f t="shared" si="17"/>
        <v>8464.800813453865</v>
      </c>
      <c r="E211" s="141">
        <f t="shared" si="18"/>
        <v>17408.397407881286</v>
      </c>
      <c r="F211" s="141">
        <f t="shared" si="19"/>
        <v>2008887.8144709265</v>
      </c>
    </row>
    <row r="212" spans="1:6" x14ac:dyDescent="0.2">
      <c r="A212" s="146">
        <v>199</v>
      </c>
      <c r="B212" s="141">
        <f t="shared" si="15"/>
        <v>2008887.8144709265</v>
      </c>
      <c r="C212" s="141">
        <f t="shared" si="16"/>
        <v>8906.0693108211071</v>
      </c>
      <c r="D212" s="141">
        <f t="shared" si="17"/>
        <v>8502.3280970601791</v>
      </c>
      <c r="E212" s="141">
        <f t="shared" si="18"/>
        <v>17408.397407881286</v>
      </c>
      <c r="F212" s="141">
        <f t="shared" si="19"/>
        <v>2000385.4863738664</v>
      </c>
    </row>
    <row r="213" spans="1:6" x14ac:dyDescent="0.2">
      <c r="A213" s="146">
        <v>200</v>
      </c>
      <c r="B213" s="141">
        <f t="shared" si="15"/>
        <v>2000385.4863738664</v>
      </c>
      <c r="C213" s="141">
        <f t="shared" si="16"/>
        <v>8868.3756562574745</v>
      </c>
      <c r="D213" s="141">
        <f t="shared" si="17"/>
        <v>8540.0217516238117</v>
      </c>
      <c r="E213" s="141">
        <f t="shared" si="18"/>
        <v>17408.397407881286</v>
      </c>
      <c r="F213" s="141">
        <f t="shared" si="19"/>
        <v>1991845.4646222426</v>
      </c>
    </row>
    <row r="214" spans="1:6" x14ac:dyDescent="0.2">
      <c r="A214" s="146">
        <v>201</v>
      </c>
      <c r="B214" s="141">
        <f t="shared" si="15"/>
        <v>1991845.4646222426</v>
      </c>
      <c r="C214" s="141">
        <f t="shared" si="16"/>
        <v>8830.5148931586082</v>
      </c>
      <c r="D214" s="141">
        <f t="shared" si="17"/>
        <v>8577.882514722678</v>
      </c>
      <c r="E214" s="141">
        <f t="shared" si="18"/>
        <v>17408.397407881286</v>
      </c>
      <c r="F214" s="141">
        <f t="shared" si="19"/>
        <v>1983267.58210752</v>
      </c>
    </row>
    <row r="215" spans="1:6" x14ac:dyDescent="0.2">
      <c r="A215" s="146">
        <v>202</v>
      </c>
      <c r="B215" s="141">
        <f t="shared" si="15"/>
        <v>1983267.58210752</v>
      </c>
      <c r="C215" s="141">
        <f t="shared" si="16"/>
        <v>8792.4862806766723</v>
      </c>
      <c r="D215" s="141">
        <f t="shared" si="17"/>
        <v>8615.9111272046139</v>
      </c>
      <c r="E215" s="141">
        <f t="shared" si="18"/>
        <v>17408.397407881286</v>
      </c>
      <c r="F215" s="141">
        <f t="shared" si="19"/>
        <v>1974651.6709803154</v>
      </c>
    </row>
    <row r="216" spans="1:6" x14ac:dyDescent="0.2">
      <c r="A216" s="146">
        <v>203</v>
      </c>
      <c r="B216" s="141">
        <f t="shared" si="15"/>
        <v>1974651.6709803154</v>
      </c>
      <c r="C216" s="141">
        <f t="shared" si="16"/>
        <v>8754.2890746793983</v>
      </c>
      <c r="D216" s="141">
        <f t="shared" si="17"/>
        <v>8654.1083332018879</v>
      </c>
      <c r="E216" s="141">
        <f t="shared" si="18"/>
        <v>17408.397407881286</v>
      </c>
      <c r="F216" s="141">
        <f t="shared" si="19"/>
        <v>1965997.5626471136</v>
      </c>
    </row>
    <row r="217" spans="1:6" x14ac:dyDescent="0.2">
      <c r="A217" s="146">
        <v>204</v>
      </c>
      <c r="B217" s="141">
        <f t="shared" si="15"/>
        <v>1965997.5626471136</v>
      </c>
      <c r="C217" s="141">
        <f t="shared" si="16"/>
        <v>8715.9225277355363</v>
      </c>
      <c r="D217" s="141">
        <f t="shared" si="17"/>
        <v>8692.4748801457499</v>
      </c>
      <c r="E217" s="141">
        <f t="shared" si="18"/>
        <v>17408.397407881286</v>
      </c>
      <c r="F217" s="141">
        <f t="shared" si="19"/>
        <v>1957305.0877669677</v>
      </c>
    </row>
    <row r="218" spans="1:6" x14ac:dyDescent="0.2">
      <c r="A218" s="146">
        <v>205</v>
      </c>
      <c r="B218" s="141">
        <f t="shared" si="15"/>
        <v>1957305.0877669677</v>
      </c>
      <c r="C218" s="141">
        <f t="shared" si="16"/>
        <v>8677.3858891002237</v>
      </c>
      <c r="D218" s="141">
        <f t="shared" si="17"/>
        <v>8731.0115187810625</v>
      </c>
      <c r="E218" s="141">
        <f t="shared" si="18"/>
        <v>17408.397407881286</v>
      </c>
      <c r="F218" s="141">
        <f t="shared" si="19"/>
        <v>1948574.0762481866</v>
      </c>
    </row>
    <row r="219" spans="1:6" x14ac:dyDescent="0.2">
      <c r="A219" s="146">
        <v>206</v>
      </c>
      <c r="B219" s="141">
        <f t="shared" si="15"/>
        <v>1948574.0762481866</v>
      </c>
      <c r="C219" s="141">
        <f t="shared" si="16"/>
        <v>8638.6784047002948</v>
      </c>
      <c r="D219" s="141">
        <f t="shared" si="17"/>
        <v>8769.7190031809914</v>
      </c>
      <c r="E219" s="141">
        <f t="shared" si="18"/>
        <v>17408.397407881286</v>
      </c>
      <c r="F219" s="141">
        <f t="shared" si="19"/>
        <v>1939804.3572450057</v>
      </c>
    </row>
    <row r="220" spans="1:6" x14ac:dyDescent="0.2">
      <c r="A220" s="146">
        <v>207</v>
      </c>
      <c r="B220" s="141">
        <f t="shared" si="15"/>
        <v>1939804.3572450057</v>
      </c>
      <c r="C220" s="141">
        <f t="shared" si="16"/>
        <v>8599.7993171195249</v>
      </c>
      <c r="D220" s="141">
        <f t="shared" si="17"/>
        <v>8808.5980907617613</v>
      </c>
      <c r="E220" s="141">
        <f t="shared" si="18"/>
        <v>17408.397407881286</v>
      </c>
      <c r="F220" s="141">
        <f t="shared" si="19"/>
        <v>1930995.7591542439</v>
      </c>
    </row>
    <row r="221" spans="1:6" x14ac:dyDescent="0.2">
      <c r="A221" s="146">
        <v>208</v>
      </c>
      <c r="B221" s="141">
        <f t="shared" si="15"/>
        <v>1930995.7591542439</v>
      </c>
      <c r="C221" s="141">
        <f t="shared" si="16"/>
        <v>8560.7478655838149</v>
      </c>
      <c r="D221" s="141">
        <f t="shared" si="17"/>
        <v>8847.6495422974713</v>
      </c>
      <c r="E221" s="141">
        <f t="shared" si="18"/>
        <v>17408.397407881286</v>
      </c>
      <c r="F221" s="141">
        <f t="shared" si="19"/>
        <v>1922148.1096119464</v>
      </c>
    </row>
    <row r="222" spans="1:6" x14ac:dyDescent="0.2">
      <c r="A222" s="146">
        <v>209</v>
      </c>
      <c r="B222" s="141">
        <f t="shared" si="15"/>
        <v>1922148.1096119464</v>
      </c>
      <c r="C222" s="141">
        <f t="shared" si="16"/>
        <v>8521.5232859462958</v>
      </c>
      <c r="D222" s="141">
        <f t="shared" si="17"/>
        <v>8886.8741219349904</v>
      </c>
      <c r="E222" s="141">
        <f t="shared" si="18"/>
        <v>17408.397407881286</v>
      </c>
      <c r="F222" s="141">
        <f t="shared" si="19"/>
        <v>1913261.2354900115</v>
      </c>
    </row>
    <row r="223" spans="1:6" x14ac:dyDescent="0.2">
      <c r="A223" s="146">
        <v>210</v>
      </c>
      <c r="B223" s="141">
        <f t="shared" si="15"/>
        <v>1913261.2354900115</v>
      </c>
      <c r="C223" s="141">
        <f t="shared" si="16"/>
        <v>8482.1248106723851</v>
      </c>
      <c r="D223" s="141">
        <f t="shared" si="17"/>
        <v>8926.2725972089011</v>
      </c>
      <c r="E223" s="141">
        <f t="shared" si="18"/>
        <v>17408.397407881286</v>
      </c>
      <c r="F223" s="141">
        <f t="shared" si="19"/>
        <v>1904334.9628928027</v>
      </c>
    </row>
    <row r="224" spans="1:6" x14ac:dyDescent="0.2">
      <c r="A224" s="146">
        <v>211</v>
      </c>
      <c r="B224" s="141">
        <f t="shared" si="15"/>
        <v>1904334.9628928027</v>
      </c>
      <c r="C224" s="141">
        <f t="shared" si="16"/>
        <v>8442.551668824759</v>
      </c>
      <c r="D224" s="141">
        <f t="shared" si="17"/>
        <v>8965.8457390565272</v>
      </c>
      <c r="E224" s="141">
        <f t="shared" si="18"/>
        <v>17408.397407881286</v>
      </c>
      <c r="F224" s="141">
        <f t="shared" si="19"/>
        <v>1895369.1171537461</v>
      </c>
    </row>
    <row r="225" spans="1:6" x14ac:dyDescent="0.2">
      <c r="A225" s="146">
        <v>212</v>
      </c>
      <c r="B225" s="141">
        <f t="shared" si="15"/>
        <v>1895369.1171537461</v>
      </c>
      <c r="C225" s="141">
        <f t="shared" si="16"/>
        <v>8402.8030860482741</v>
      </c>
      <c r="D225" s="141">
        <f t="shared" si="17"/>
        <v>9005.5943218330121</v>
      </c>
      <c r="E225" s="141">
        <f t="shared" si="18"/>
        <v>17408.397407881286</v>
      </c>
      <c r="F225" s="141">
        <f t="shared" si="19"/>
        <v>1886363.5228319131</v>
      </c>
    </row>
    <row r="226" spans="1:6" x14ac:dyDescent="0.2">
      <c r="A226" s="146">
        <v>213</v>
      </c>
      <c r="B226" s="141">
        <f t="shared" si="15"/>
        <v>1886363.5228319131</v>
      </c>
      <c r="C226" s="141">
        <f t="shared" si="16"/>
        <v>8362.8782845548139</v>
      </c>
      <c r="D226" s="141">
        <f t="shared" si="17"/>
        <v>9045.5191233264723</v>
      </c>
      <c r="E226" s="141">
        <f t="shared" si="18"/>
        <v>17408.397407881286</v>
      </c>
      <c r="F226" s="141">
        <f t="shared" si="19"/>
        <v>1877318.0037085866</v>
      </c>
    </row>
    <row r="227" spans="1:6" x14ac:dyDescent="0.2">
      <c r="A227" s="146">
        <v>214</v>
      </c>
      <c r="B227" s="141">
        <f t="shared" si="15"/>
        <v>1877318.0037085866</v>
      </c>
      <c r="C227" s="141">
        <f t="shared" si="16"/>
        <v>8322.7764831080676</v>
      </c>
      <c r="D227" s="141">
        <f t="shared" si="17"/>
        <v>9085.6209247732186</v>
      </c>
      <c r="E227" s="141">
        <f t="shared" si="18"/>
        <v>17408.397407881286</v>
      </c>
      <c r="F227" s="141">
        <f t="shared" si="19"/>
        <v>1868232.3827838134</v>
      </c>
    </row>
    <row r="228" spans="1:6" x14ac:dyDescent="0.2">
      <c r="A228" s="146">
        <v>215</v>
      </c>
      <c r="B228" s="141">
        <f t="shared" si="15"/>
        <v>1868232.3827838134</v>
      </c>
      <c r="C228" s="141">
        <f t="shared" si="16"/>
        <v>8282.4968970082391</v>
      </c>
      <c r="D228" s="141">
        <f t="shared" si="17"/>
        <v>9125.9005108730471</v>
      </c>
      <c r="E228" s="141">
        <f t="shared" si="18"/>
        <v>17408.397407881286</v>
      </c>
      <c r="F228" s="141">
        <f t="shared" si="19"/>
        <v>1859106.4822729405</v>
      </c>
    </row>
    <row r="229" spans="1:6" x14ac:dyDescent="0.2">
      <c r="A229" s="146">
        <v>216</v>
      </c>
      <c r="B229" s="141">
        <f t="shared" si="15"/>
        <v>1859106.4822729405</v>
      </c>
      <c r="C229" s="141">
        <f t="shared" si="16"/>
        <v>8242.0387380767024</v>
      </c>
      <c r="D229" s="141">
        <f t="shared" si="17"/>
        <v>9166.3586698045838</v>
      </c>
      <c r="E229" s="141">
        <f t="shared" si="18"/>
        <v>17408.397407881286</v>
      </c>
      <c r="F229" s="141">
        <f t="shared" si="19"/>
        <v>1849940.1236031358</v>
      </c>
    </row>
    <row r="230" spans="1:6" x14ac:dyDescent="0.2">
      <c r="A230" s="146">
        <v>217</v>
      </c>
      <c r="B230" s="141">
        <f t="shared" si="15"/>
        <v>1849940.1236031358</v>
      </c>
      <c r="C230" s="141">
        <f t="shared" si="16"/>
        <v>8201.4012146405694</v>
      </c>
      <c r="D230" s="141">
        <f t="shared" si="17"/>
        <v>9206.9961932407168</v>
      </c>
      <c r="E230" s="141">
        <f t="shared" si="18"/>
        <v>17408.397407881286</v>
      </c>
      <c r="F230" s="141">
        <f t="shared" si="19"/>
        <v>1840733.1274098952</v>
      </c>
    </row>
    <row r="231" spans="1:6" x14ac:dyDescent="0.2">
      <c r="A231" s="146">
        <v>218</v>
      </c>
      <c r="B231" s="141">
        <f t="shared" si="15"/>
        <v>1840733.1274098952</v>
      </c>
      <c r="C231" s="141">
        <f t="shared" si="16"/>
        <v>8160.5835315172017</v>
      </c>
      <c r="D231" s="141">
        <f t="shared" si="17"/>
        <v>9247.8138763640854</v>
      </c>
      <c r="E231" s="141">
        <f t="shared" si="18"/>
        <v>17408.397407881286</v>
      </c>
      <c r="F231" s="141">
        <f t="shared" si="19"/>
        <v>1831485.313533531</v>
      </c>
    </row>
    <row r="232" spans="1:6" x14ac:dyDescent="0.2">
      <c r="A232" s="146">
        <v>219</v>
      </c>
      <c r="B232" s="141">
        <f t="shared" si="15"/>
        <v>1831485.313533531</v>
      </c>
      <c r="C232" s="141">
        <f t="shared" si="16"/>
        <v>8119.584889998654</v>
      </c>
      <c r="D232" s="141">
        <f t="shared" si="17"/>
        <v>9288.8125178826322</v>
      </c>
      <c r="E232" s="141">
        <f t="shared" si="18"/>
        <v>17408.397407881286</v>
      </c>
      <c r="F232" s="141">
        <f t="shared" si="19"/>
        <v>1822196.5010156485</v>
      </c>
    </row>
    <row r="233" spans="1:6" x14ac:dyDescent="0.2">
      <c r="A233" s="146">
        <v>220</v>
      </c>
      <c r="B233" s="141">
        <f t="shared" si="15"/>
        <v>1822196.5010156485</v>
      </c>
      <c r="C233" s="141">
        <f t="shared" si="16"/>
        <v>8078.4044878360419</v>
      </c>
      <c r="D233" s="141">
        <f t="shared" si="17"/>
        <v>9329.9929200452443</v>
      </c>
      <c r="E233" s="141">
        <f t="shared" si="18"/>
        <v>17408.397407881286</v>
      </c>
      <c r="F233" s="141">
        <f t="shared" si="19"/>
        <v>1812866.5080956032</v>
      </c>
    </row>
    <row r="234" spans="1:6" x14ac:dyDescent="0.2">
      <c r="A234" s="146">
        <v>221</v>
      </c>
      <c r="B234" s="141">
        <f t="shared" si="15"/>
        <v>1812866.5080956032</v>
      </c>
      <c r="C234" s="141">
        <f t="shared" si="16"/>
        <v>8037.0415192238406</v>
      </c>
      <c r="D234" s="141">
        <f t="shared" si="17"/>
        <v>9371.3558886574465</v>
      </c>
      <c r="E234" s="141">
        <f t="shared" si="18"/>
        <v>17408.397407881286</v>
      </c>
      <c r="F234" s="141">
        <f t="shared" si="19"/>
        <v>1803495.1522069457</v>
      </c>
    </row>
    <row r="235" spans="1:6" x14ac:dyDescent="0.2">
      <c r="A235" s="146">
        <v>222</v>
      </c>
      <c r="B235" s="141">
        <f t="shared" si="15"/>
        <v>1803495.1522069457</v>
      </c>
      <c r="C235" s="141">
        <f t="shared" si="16"/>
        <v>7995.495174784126</v>
      </c>
      <c r="D235" s="141">
        <f t="shared" si="17"/>
        <v>9412.9022330971602</v>
      </c>
      <c r="E235" s="141">
        <f t="shared" si="18"/>
        <v>17408.397407881286</v>
      </c>
      <c r="F235" s="141">
        <f t="shared" si="19"/>
        <v>1794082.2499738485</v>
      </c>
    </row>
    <row r="236" spans="1:6" x14ac:dyDescent="0.2">
      <c r="A236" s="146">
        <v>223</v>
      </c>
      <c r="B236" s="141">
        <f t="shared" si="15"/>
        <v>1794082.2499738485</v>
      </c>
      <c r="C236" s="141">
        <f t="shared" si="16"/>
        <v>7953.7646415507279</v>
      </c>
      <c r="D236" s="141">
        <f t="shared" si="17"/>
        <v>9454.6327663305583</v>
      </c>
      <c r="E236" s="141">
        <f t="shared" si="18"/>
        <v>17408.397407881286</v>
      </c>
      <c r="F236" s="141">
        <f t="shared" si="19"/>
        <v>1784627.6172075178</v>
      </c>
    </row>
    <row r="237" spans="1:6" x14ac:dyDescent="0.2">
      <c r="A237" s="146">
        <v>224</v>
      </c>
      <c r="B237" s="141">
        <f t="shared" si="15"/>
        <v>1784627.6172075178</v>
      </c>
      <c r="C237" s="141">
        <f t="shared" si="16"/>
        <v>7911.8491029533288</v>
      </c>
      <c r="D237" s="141">
        <f t="shared" si="17"/>
        <v>9496.5483049279574</v>
      </c>
      <c r="E237" s="141">
        <f t="shared" si="18"/>
        <v>17408.397407881286</v>
      </c>
      <c r="F237" s="141">
        <f t="shared" si="19"/>
        <v>1775131.0689025898</v>
      </c>
    </row>
    <row r="238" spans="1:6" x14ac:dyDescent="0.2">
      <c r="A238" s="146">
        <v>225</v>
      </c>
      <c r="B238" s="141">
        <f t="shared" si="15"/>
        <v>1775131.0689025898</v>
      </c>
      <c r="C238" s="141">
        <f t="shared" si="16"/>
        <v>7869.7477388014813</v>
      </c>
      <c r="D238" s="141">
        <f t="shared" si="17"/>
        <v>9538.6496690798049</v>
      </c>
      <c r="E238" s="141">
        <f t="shared" si="18"/>
        <v>17408.397407881286</v>
      </c>
      <c r="F238" s="141">
        <f t="shared" si="19"/>
        <v>1765592.41923351</v>
      </c>
    </row>
    <row r="239" spans="1:6" x14ac:dyDescent="0.2">
      <c r="A239" s="146">
        <v>226</v>
      </c>
      <c r="B239" s="141">
        <f t="shared" si="15"/>
        <v>1765592.41923351</v>
      </c>
      <c r="C239" s="141">
        <f t="shared" si="16"/>
        <v>7827.4597252685617</v>
      </c>
      <c r="D239" s="141">
        <f t="shared" si="17"/>
        <v>9580.9376826127245</v>
      </c>
      <c r="E239" s="141">
        <f t="shared" si="18"/>
        <v>17408.397407881286</v>
      </c>
      <c r="F239" s="141">
        <f t="shared" si="19"/>
        <v>1756011.4815508972</v>
      </c>
    </row>
    <row r="240" spans="1:6" x14ac:dyDescent="0.2">
      <c r="A240" s="146">
        <v>227</v>
      </c>
      <c r="B240" s="141">
        <f t="shared" si="15"/>
        <v>1756011.4815508972</v>
      </c>
      <c r="C240" s="141">
        <f t="shared" si="16"/>
        <v>7784.9842348756447</v>
      </c>
      <c r="D240" s="141">
        <f t="shared" si="17"/>
        <v>9623.4131730056415</v>
      </c>
      <c r="E240" s="141">
        <f t="shared" si="18"/>
        <v>17408.397407881286</v>
      </c>
      <c r="F240" s="141">
        <f t="shared" si="19"/>
        <v>1746388.0683778916</v>
      </c>
    </row>
    <row r="241" spans="1:6" x14ac:dyDescent="0.2">
      <c r="A241" s="146">
        <v>228</v>
      </c>
      <c r="B241" s="141">
        <f t="shared" si="15"/>
        <v>1746388.0683778916</v>
      </c>
      <c r="C241" s="141">
        <f t="shared" si="16"/>
        <v>7742.3204364753192</v>
      </c>
      <c r="D241" s="141">
        <f t="shared" si="17"/>
        <v>9666.0769714059679</v>
      </c>
      <c r="E241" s="141">
        <f t="shared" si="18"/>
        <v>17408.397407881286</v>
      </c>
      <c r="F241" s="141">
        <f t="shared" si="19"/>
        <v>1736721.9914064857</v>
      </c>
    </row>
    <row r="242" spans="1:6" x14ac:dyDescent="0.2">
      <c r="A242" s="146">
        <v>229</v>
      </c>
      <c r="B242" s="141">
        <f t="shared" si="15"/>
        <v>1736721.9914064857</v>
      </c>
      <c r="C242" s="141">
        <f t="shared" si="16"/>
        <v>7699.4674952354198</v>
      </c>
      <c r="D242" s="141">
        <f t="shared" si="17"/>
        <v>9708.9299126458664</v>
      </c>
      <c r="E242" s="141">
        <f t="shared" si="18"/>
        <v>17408.397407881286</v>
      </c>
      <c r="F242" s="141">
        <f t="shared" si="19"/>
        <v>1727013.0614938398</v>
      </c>
    </row>
    <row r="243" spans="1:6" x14ac:dyDescent="0.2">
      <c r="A243" s="146">
        <v>230</v>
      </c>
      <c r="B243" s="141">
        <f t="shared" si="15"/>
        <v>1727013.0614938398</v>
      </c>
      <c r="C243" s="141">
        <f t="shared" si="16"/>
        <v>7656.42457262269</v>
      </c>
      <c r="D243" s="141">
        <f t="shared" si="17"/>
        <v>9751.9728352585953</v>
      </c>
      <c r="E243" s="141">
        <f t="shared" si="18"/>
        <v>17408.397407881286</v>
      </c>
      <c r="F243" s="141">
        <f t="shared" si="19"/>
        <v>1717261.0886585813</v>
      </c>
    </row>
    <row r="244" spans="1:6" x14ac:dyDescent="0.2">
      <c r="A244" s="146">
        <v>231</v>
      </c>
      <c r="B244" s="141">
        <f t="shared" si="15"/>
        <v>1717261.0886585813</v>
      </c>
      <c r="C244" s="141">
        <f t="shared" si="16"/>
        <v>7613.190826386377</v>
      </c>
      <c r="D244" s="141">
        <f t="shared" si="17"/>
        <v>9795.2065814949092</v>
      </c>
      <c r="E244" s="141">
        <f t="shared" si="18"/>
        <v>17408.397407881286</v>
      </c>
      <c r="F244" s="141">
        <f t="shared" si="19"/>
        <v>1707465.8820770863</v>
      </c>
    </row>
    <row r="245" spans="1:6" x14ac:dyDescent="0.2">
      <c r="A245" s="146">
        <v>232</v>
      </c>
      <c r="B245" s="141">
        <f t="shared" si="15"/>
        <v>1707465.8820770863</v>
      </c>
      <c r="C245" s="141">
        <f t="shared" si="16"/>
        <v>7569.7654105417496</v>
      </c>
      <c r="D245" s="141">
        <f t="shared" si="17"/>
        <v>9838.6319973395366</v>
      </c>
      <c r="E245" s="141">
        <f t="shared" si="18"/>
        <v>17408.397407881286</v>
      </c>
      <c r="F245" s="141">
        <f t="shared" si="19"/>
        <v>1697627.2500797468</v>
      </c>
    </row>
    <row r="246" spans="1:6" x14ac:dyDescent="0.2">
      <c r="A246" s="146">
        <v>233</v>
      </c>
      <c r="B246" s="141">
        <f t="shared" si="15"/>
        <v>1697627.2500797468</v>
      </c>
      <c r="C246" s="141">
        <f t="shared" si="16"/>
        <v>7526.147475353544</v>
      </c>
      <c r="D246" s="141">
        <f t="shared" si="17"/>
        <v>9882.2499325277422</v>
      </c>
      <c r="E246" s="141">
        <f t="shared" si="18"/>
        <v>17408.397407881286</v>
      </c>
      <c r="F246" s="141">
        <f t="shared" si="19"/>
        <v>1687745.000147219</v>
      </c>
    </row>
    <row r="247" spans="1:6" x14ac:dyDescent="0.2">
      <c r="A247" s="146">
        <v>234</v>
      </c>
      <c r="B247" s="141">
        <f t="shared" si="15"/>
        <v>1687745.000147219</v>
      </c>
      <c r="C247" s="141">
        <f t="shared" si="16"/>
        <v>7482.3361673193376</v>
      </c>
      <c r="D247" s="141">
        <f t="shared" si="17"/>
        <v>9926.0612405619486</v>
      </c>
      <c r="E247" s="141">
        <f t="shared" si="18"/>
        <v>17408.397407881286</v>
      </c>
      <c r="F247" s="141">
        <f t="shared" si="19"/>
        <v>1677818.938906657</v>
      </c>
    </row>
    <row r="248" spans="1:6" x14ac:dyDescent="0.2">
      <c r="A248" s="146">
        <v>235</v>
      </c>
      <c r="B248" s="141">
        <f t="shared" si="15"/>
        <v>1677818.938906657</v>
      </c>
      <c r="C248" s="141">
        <f t="shared" si="16"/>
        <v>7438.3306291528461</v>
      </c>
      <c r="D248" s="141">
        <f t="shared" si="17"/>
        <v>9970.0667787284401</v>
      </c>
      <c r="E248" s="141">
        <f t="shared" si="18"/>
        <v>17408.397407881286</v>
      </c>
      <c r="F248" s="141">
        <f t="shared" si="19"/>
        <v>1667848.8721279285</v>
      </c>
    </row>
    <row r="249" spans="1:6" x14ac:dyDescent="0.2">
      <c r="A249" s="146">
        <v>236</v>
      </c>
      <c r="B249" s="141">
        <f t="shared" si="15"/>
        <v>1667848.8721279285</v>
      </c>
      <c r="C249" s="141">
        <f t="shared" si="16"/>
        <v>7394.1299997671504</v>
      </c>
      <c r="D249" s="141">
        <f t="shared" si="17"/>
        <v>10014.267408114136</v>
      </c>
      <c r="E249" s="141">
        <f t="shared" si="18"/>
        <v>17408.397407881286</v>
      </c>
      <c r="F249" s="141">
        <f t="shared" si="19"/>
        <v>1657834.6047198144</v>
      </c>
    </row>
    <row r="250" spans="1:6" x14ac:dyDescent="0.2">
      <c r="A250" s="146">
        <v>237</v>
      </c>
      <c r="B250" s="141">
        <f t="shared" si="15"/>
        <v>1657834.6047198144</v>
      </c>
      <c r="C250" s="141">
        <f t="shared" si="16"/>
        <v>7349.7334142578438</v>
      </c>
      <c r="D250" s="141">
        <f t="shared" si="17"/>
        <v>10058.663993623442</v>
      </c>
      <c r="E250" s="141">
        <f t="shared" si="18"/>
        <v>17408.397407881286</v>
      </c>
      <c r="F250" s="141">
        <f t="shared" si="19"/>
        <v>1647775.940726191</v>
      </c>
    </row>
    <row r="251" spans="1:6" x14ac:dyDescent="0.2">
      <c r="A251" s="146">
        <v>238</v>
      </c>
      <c r="B251" s="141">
        <f t="shared" si="15"/>
        <v>1647775.940726191</v>
      </c>
      <c r="C251" s="141">
        <f t="shared" si="16"/>
        <v>7305.1400038861138</v>
      </c>
      <c r="D251" s="141">
        <f t="shared" si="17"/>
        <v>10103.257403995172</v>
      </c>
      <c r="E251" s="141">
        <f t="shared" si="18"/>
        <v>17408.397407881286</v>
      </c>
      <c r="F251" s="141">
        <f t="shared" si="19"/>
        <v>1637672.6833221959</v>
      </c>
    </row>
    <row r="252" spans="1:6" x14ac:dyDescent="0.2">
      <c r="A252" s="146">
        <v>239</v>
      </c>
      <c r="B252" s="141">
        <f t="shared" si="15"/>
        <v>1637672.6833221959</v>
      </c>
      <c r="C252" s="141">
        <f t="shared" si="16"/>
        <v>7260.3488960617351</v>
      </c>
      <c r="D252" s="141">
        <f t="shared" si="17"/>
        <v>10148.04851181955</v>
      </c>
      <c r="E252" s="141">
        <f t="shared" si="18"/>
        <v>17408.397407881286</v>
      </c>
      <c r="F252" s="141">
        <f t="shared" si="19"/>
        <v>1627524.6348103764</v>
      </c>
    </row>
    <row r="253" spans="1:6" x14ac:dyDescent="0.2">
      <c r="A253" s="146">
        <v>240</v>
      </c>
      <c r="B253" s="141">
        <f t="shared" si="15"/>
        <v>1627524.6348103764</v>
      </c>
      <c r="C253" s="141">
        <f t="shared" si="16"/>
        <v>7215.3592143260021</v>
      </c>
      <c r="D253" s="141">
        <f t="shared" si="17"/>
        <v>10193.038193555283</v>
      </c>
      <c r="E253" s="141">
        <f t="shared" si="18"/>
        <v>17408.397407881286</v>
      </c>
      <c r="F253" s="141">
        <f t="shared" si="19"/>
        <v>1617331.5966168211</v>
      </c>
    </row>
    <row r="254" spans="1:6" x14ac:dyDescent="0.2">
      <c r="A254" s="146">
        <v>241</v>
      </c>
      <c r="B254" s="141">
        <f t="shared" si="15"/>
        <v>1617331.5966168211</v>
      </c>
      <c r="C254" s="141">
        <f t="shared" si="16"/>
        <v>7170.1700783345741</v>
      </c>
      <c r="D254" s="141">
        <f t="shared" si="17"/>
        <v>10238.227329546713</v>
      </c>
      <c r="E254" s="141">
        <f t="shared" si="18"/>
        <v>17408.397407881286</v>
      </c>
      <c r="F254" s="141">
        <f t="shared" si="19"/>
        <v>1607093.3692872743</v>
      </c>
    </row>
    <row r="255" spans="1:6" x14ac:dyDescent="0.2">
      <c r="A255" s="146">
        <v>242</v>
      </c>
      <c r="B255" s="141">
        <f t="shared" si="15"/>
        <v>1607093.3692872743</v>
      </c>
      <c r="C255" s="141">
        <f t="shared" si="16"/>
        <v>7124.7806038402496</v>
      </c>
      <c r="D255" s="141">
        <f t="shared" si="17"/>
        <v>10283.616804041038</v>
      </c>
      <c r="E255" s="141">
        <f t="shared" si="18"/>
        <v>17408.397407881286</v>
      </c>
      <c r="F255" s="141">
        <f t="shared" si="19"/>
        <v>1596809.7524832333</v>
      </c>
    </row>
    <row r="256" spans="1:6" x14ac:dyDescent="0.2">
      <c r="A256" s="146">
        <v>243</v>
      </c>
      <c r="B256" s="141">
        <f t="shared" si="15"/>
        <v>1596809.7524832333</v>
      </c>
      <c r="C256" s="141">
        <f t="shared" si="16"/>
        <v>7079.1899026756682</v>
      </c>
      <c r="D256" s="141">
        <f t="shared" si="17"/>
        <v>10329.207505205617</v>
      </c>
      <c r="E256" s="141">
        <f t="shared" si="18"/>
        <v>17408.397407881286</v>
      </c>
      <c r="F256" s="141">
        <f t="shared" si="19"/>
        <v>1586480.5449780277</v>
      </c>
    </row>
    <row r="257" spans="1:6" x14ac:dyDescent="0.2">
      <c r="A257" s="146">
        <v>244</v>
      </c>
      <c r="B257" s="141">
        <f t="shared" si="15"/>
        <v>1586480.5449780277</v>
      </c>
      <c r="C257" s="141">
        <f t="shared" si="16"/>
        <v>7033.3970827359226</v>
      </c>
      <c r="D257" s="141">
        <f t="shared" si="17"/>
        <v>10375.000325145364</v>
      </c>
      <c r="E257" s="141">
        <f t="shared" si="18"/>
        <v>17408.397407881286</v>
      </c>
      <c r="F257" s="141">
        <f t="shared" si="19"/>
        <v>1576105.5446528823</v>
      </c>
    </row>
    <row r="258" spans="1:6" x14ac:dyDescent="0.2">
      <c r="A258" s="146">
        <v>245</v>
      </c>
      <c r="B258" s="141">
        <f t="shared" si="15"/>
        <v>1576105.5446528823</v>
      </c>
      <c r="C258" s="141">
        <f t="shared" si="16"/>
        <v>6987.401247961111</v>
      </c>
      <c r="D258" s="141">
        <f t="shared" si="17"/>
        <v>10420.996159920174</v>
      </c>
      <c r="E258" s="141">
        <f t="shared" si="18"/>
        <v>17408.397407881286</v>
      </c>
      <c r="F258" s="141">
        <f t="shared" si="19"/>
        <v>1565684.548492962</v>
      </c>
    </row>
    <row r="259" spans="1:6" x14ac:dyDescent="0.2">
      <c r="A259" s="146">
        <v>246</v>
      </c>
      <c r="B259" s="141">
        <f t="shared" si="15"/>
        <v>1565684.548492962</v>
      </c>
      <c r="C259" s="141">
        <f t="shared" si="16"/>
        <v>6941.2014983187983</v>
      </c>
      <c r="D259" s="141">
        <f t="shared" si="17"/>
        <v>10467.195909562488</v>
      </c>
      <c r="E259" s="141">
        <f t="shared" si="18"/>
        <v>17408.397407881286</v>
      </c>
      <c r="F259" s="141">
        <f t="shared" si="19"/>
        <v>1555217.3525833995</v>
      </c>
    </row>
    <row r="260" spans="1:6" x14ac:dyDescent="0.2">
      <c r="A260" s="146">
        <v>247</v>
      </c>
      <c r="B260" s="141">
        <f t="shared" si="15"/>
        <v>1555217.3525833995</v>
      </c>
      <c r="C260" s="141">
        <f t="shared" si="16"/>
        <v>6894.7969297864047</v>
      </c>
      <c r="D260" s="141">
        <f t="shared" si="17"/>
        <v>10513.600478094882</v>
      </c>
      <c r="E260" s="141">
        <f t="shared" si="18"/>
        <v>17408.397407881286</v>
      </c>
      <c r="F260" s="141">
        <f t="shared" si="19"/>
        <v>1544703.7521053047</v>
      </c>
    </row>
    <row r="261" spans="1:6" x14ac:dyDescent="0.2">
      <c r="A261" s="146">
        <v>248</v>
      </c>
      <c r="B261" s="141">
        <f t="shared" si="15"/>
        <v>1544703.7521053047</v>
      </c>
      <c r="C261" s="141">
        <f t="shared" si="16"/>
        <v>6848.1866343335178</v>
      </c>
      <c r="D261" s="141">
        <f t="shared" si="17"/>
        <v>10560.210773547769</v>
      </c>
      <c r="E261" s="141">
        <f t="shared" si="18"/>
        <v>17408.397407881286</v>
      </c>
      <c r="F261" s="141">
        <f t="shared" si="19"/>
        <v>1534143.5413317569</v>
      </c>
    </row>
    <row r="262" spans="1:6" x14ac:dyDescent="0.2">
      <c r="A262" s="146">
        <v>249</v>
      </c>
      <c r="B262" s="141">
        <f t="shared" si="15"/>
        <v>1534143.5413317569</v>
      </c>
      <c r="C262" s="141">
        <f t="shared" si="16"/>
        <v>6801.3696999041222</v>
      </c>
      <c r="D262" s="141">
        <f t="shared" si="17"/>
        <v>10607.027707977164</v>
      </c>
      <c r="E262" s="141">
        <f t="shared" si="18"/>
        <v>17408.397407881286</v>
      </c>
      <c r="F262" s="141">
        <f t="shared" si="19"/>
        <v>1523536.5136237796</v>
      </c>
    </row>
    <row r="263" spans="1:6" x14ac:dyDescent="0.2">
      <c r="A263" s="146">
        <v>250</v>
      </c>
      <c r="B263" s="141">
        <f t="shared" si="15"/>
        <v>1523536.5136237796</v>
      </c>
      <c r="C263" s="141">
        <f t="shared" si="16"/>
        <v>6754.3452103987565</v>
      </c>
      <c r="D263" s="141">
        <f t="shared" si="17"/>
        <v>10654.05219748253</v>
      </c>
      <c r="E263" s="141">
        <f t="shared" si="18"/>
        <v>17408.397407881286</v>
      </c>
      <c r="F263" s="141">
        <f t="shared" si="19"/>
        <v>1512882.4614262972</v>
      </c>
    </row>
    <row r="264" spans="1:6" x14ac:dyDescent="0.2">
      <c r="A264" s="146">
        <v>251</v>
      </c>
      <c r="B264" s="141">
        <f t="shared" si="15"/>
        <v>1512882.4614262972</v>
      </c>
      <c r="C264" s="141">
        <f t="shared" si="16"/>
        <v>6707.1122456565845</v>
      </c>
      <c r="D264" s="141">
        <f t="shared" si="17"/>
        <v>10701.285162224702</v>
      </c>
      <c r="E264" s="141">
        <f t="shared" si="18"/>
        <v>17408.397407881286</v>
      </c>
      <c r="F264" s="141">
        <f t="shared" si="19"/>
        <v>1502181.1762640725</v>
      </c>
    </row>
    <row r="265" spans="1:6" x14ac:dyDescent="0.2">
      <c r="A265" s="146">
        <v>252</v>
      </c>
      <c r="B265" s="141">
        <f t="shared" si="15"/>
        <v>1502181.1762640725</v>
      </c>
      <c r="C265" s="141">
        <f t="shared" si="16"/>
        <v>6659.6698814373885</v>
      </c>
      <c r="D265" s="141">
        <f t="shared" si="17"/>
        <v>10748.727526443898</v>
      </c>
      <c r="E265" s="141">
        <f t="shared" si="18"/>
        <v>17408.397407881286</v>
      </c>
      <c r="F265" s="141">
        <f t="shared" si="19"/>
        <v>1491432.4487376285</v>
      </c>
    </row>
    <row r="266" spans="1:6" x14ac:dyDescent="0.2">
      <c r="A266" s="146">
        <v>253</v>
      </c>
      <c r="B266" s="141">
        <f t="shared" si="15"/>
        <v>1491432.4487376285</v>
      </c>
      <c r="C266" s="141">
        <f t="shared" si="16"/>
        <v>6612.0171894034866</v>
      </c>
      <c r="D266" s="141">
        <f t="shared" si="17"/>
        <v>10796.3802184778</v>
      </c>
      <c r="E266" s="141">
        <f t="shared" si="18"/>
        <v>17408.397407881286</v>
      </c>
      <c r="F266" s="141">
        <f t="shared" si="19"/>
        <v>1480636.0685191508</v>
      </c>
    </row>
    <row r="267" spans="1:6" x14ac:dyDescent="0.2">
      <c r="A267" s="146">
        <v>254</v>
      </c>
      <c r="B267" s="141">
        <f t="shared" si="15"/>
        <v>1480636.0685191508</v>
      </c>
      <c r="C267" s="141">
        <f t="shared" si="16"/>
        <v>6564.1532371015692</v>
      </c>
      <c r="D267" s="141">
        <f t="shared" si="17"/>
        <v>10844.244170779717</v>
      </c>
      <c r="E267" s="141">
        <f t="shared" si="18"/>
        <v>17408.397407881286</v>
      </c>
      <c r="F267" s="141">
        <f t="shared" si="19"/>
        <v>1469791.824348371</v>
      </c>
    </row>
    <row r="268" spans="1:6" x14ac:dyDescent="0.2">
      <c r="A268" s="146">
        <v>255</v>
      </c>
      <c r="B268" s="141">
        <f t="shared" si="15"/>
        <v>1469791.824348371</v>
      </c>
      <c r="C268" s="141">
        <f t="shared" si="16"/>
        <v>6516.0770879444453</v>
      </c>
      <c r="D268" s="141">
        <f t="shared" si="17"/>
        <v>10892.32031993684</v>
      </c>
      <c r="E268" s="141">
        <f t="shared" si="18"/>
        <v>17408.397407881286</v>
      </c>
      <c r="F268" s="141">
        <f t="shared" si="19"/>
        <v>1458899.5040284342</v>
      </c>
    </row>
    <row r="269" spans="1:6" x14ac:dyDescent="0.2">
      <c r="A269" s="146">
        <v>256</v>
      </c>
      <c r="B269" s="141">
        <f t="shared" si="15"/>
        <v>1458899.5040284342</v>
      </c>
      <c r="C269" s="141">
        <f t="shared" si="16"/>
        <v>6467.7878011927251</v>
      </c>
      <c r="D269" s="141">
        <f t="shared" si="17"/>
        <v>10940.609606688562</v>
      </c>
      <c r="E269" s="141">
        <f t="shared" si="18"/>
        <v>17408.397407881286</v>
      </c>
      <c r="F269" s="141">
        <f t="shared" si="19"/>
        <v>1447958.8944217456</v>
      </c>
    </row>
    <row r="270" spans="1:6" x14ac:dyDescent="0.2">
      <c r="A270" s="146">
        <v>257</v>
      </c>
      <c r="B270" s="141">
        <f t="shared" si="15"/>
        <v>1447958.8944217456</v>
      </c>
      <c r="C270" s="141">
        <f t="shared" si="16"/>
        <v>6419.2844319364058</v>
      </c>
      <c r="D270" s="141">
        <f t="shared" si="17"/>
        <v>10989.112975944881</v>
      </c>
      <c r="E270" s="141">
        <f t="shared" si="18"/>
        <v>17408.397407881286</v>
      </c>
      <c r="F270" s="141">
        <f t="shared" si="19"/>
        <v>1436969.7814458008</v>
      </c>
    </row>
    <row r="271" spans="1:6" x14ac:dyDescent="0.2">
      <c r="A271" s="146">
        <v>258</v>
      </c>
      <c r="B271" s="141">
        <f t="shared" si="15"/>
        <v>1436969.7814458008</v>
      </c>
      <c r="C271" s="141">
        <f t="shared" si="16"/>
        <v>6370.5660310763833</v>
      </c>
      <c r="D271" s="141">
        <f t="shared" si="17"/>
        <v>11037.831376804903</v>
      </c>
      <c r="E271" s="141">
        <f t="shared" si="18"/>
        <v>17408.397407881286</v>
      </c>
      <c r="F271" s="141">
        <f t="shared" si="19"/>
        <v>1425931.9500689958</v>
      </c>
    </row>
    <row r="272" spans="1:6" x14ac:dyDescent="0.2">
      <c r="A272" s="146">
        <v>259</v>
      </c>
      <c r="B272" s="141">
        <f t="shared" ref="B272:B335" si="20">F271</f>
        <v>1425931.9500689958</v>
      </c>
      <c r="C272" s="141">
        <f t="shared" ref="C272:C335" si="21">B272*($B$3/12)</f>
        <v>6321.6316453058816</v>
      </c>
      <c r="D272" s="141">
        <f t="shared" ref="D272:D335" si="22">E272-C272</f>
        <v>11086.765762575404</v>
      </c>
      <c r="E272" s="141">
        <f t="shared" ref="E272:E335" si="23">PMT($B$3/12,$B$5*12,-$B$2)</f>
        <v>17408.397407881286</v>
      </c>
      <c r="F272" s="141">
        <f t="shared" ref="F272:F335" si="24">B272-D272</f>
        <v>1414845.1843064204</v>
      </c>
    </row>
    <row r="273" spans="1:6" x14ac:dyDescent="0.2">
      <c r="A273" s="146">
        <v>260</v>
      </c>
      <c r="B273" s="141">
        <f t="shared" si="20"/>
        <v>1414845.1843064204</v>
      </c>
      <c r="C273" s="141">
        <f t="shared" si="21"/>
        <v>6272.4803170917976</v>
      </c>
      <c r="D273" s="141">
        <f t="shared" si="22"/>
        <v>11135.917090789488</v>
      </c>
      <c r="E273" s="141">
        <f t="shared" si="23"/>
        <v>17408.397407881286</v>
      </c>
      <c r="F273" s="141">
        <f t="shared" si="24"/>
        <v>1403709.267215631</v>
      </c>
    </row>
    <row r="274" spans="1:6" x14ac:dyDescent="0.2">
      <c r="A274" s="146">
        <v>261</v>
      </c>
      <c r="B274" s="141">
        <f t="shared" si="20"/>
        <v>1403709.267215631</v>
      </c>
      <c r="C274" s="141">
        <f t="shared" si="21"/>
        <v>6223.1110846559641</v>
      </c>
      <c r="D274" s="141">
        <f t="shared" si="22"/>
        <v>11185.286323225322</v>
      </c>
      <c r="E274" s="141">
        <f t="shared" si="23"/>
        <v>17408.397407881286</v>
      </c>
      <c r="F274" s="141">
        <f t="shared" si="24"/>
        <v>1392523.9808924056</v>
      </c>
    </row>
    <row r="275" spans="1:6" x14ac:dyDescent="0.2">
      <c r="A275" s="146">
        <v>262</v>
      </c>
      <c r="B275" s="141">
        <f t="shared" si="20"/>
        <v>1392523.9808924056</v>
      </c>
      <c r="C275" s="141">
        <f t="shared" si="21"/>
        <v>6173.5229819563319</v>
      </c>
      <c r="D275" s="141">
        <f t="shared" si="22"/>
        <v>11234.874425924954</v>
      </c>
      <c r="E275" s="141">
        <f t="shared" si="23"/>
        <v>17408.397407881286</v>
      </c>
      <c r="F275" s="141">
        <f t="shared" si="24"/>
        <v>1381289.1064664808</v>
      </c>
    </row>
    <row r="276" spans="1:6" x14ac:dyDescent="0.2">
      <c r="A276" s="146">
        <v>263</v>
      </c>
      <c r="B276" s="141">
        <f t="shared" si="20"/>
        <v>1381289.1064664808</v>
      </c>
      <c r="C276" s="141">
        <f t="shared" si="21"/>
        <v>6123.7150386680651</v>
      </c>
      <c r="D276" s="141">
        <f t="shared" si="22"/>
        <v>11284.68236921322</v>
      </c>
      <c r="E276" s="141">
        <f t="shared" si="23"/>
        <v>17408.397407881286</v>
      </c>
      <c r="F276" s="141">
        <f t="shared" si="24"/>
        <v>1370004.4240972674</v>
      </c>
    </row>
    <row r="277" spans="1:6" x14ac:dyDescent="0.2">
      <c r="A277" s="146">
        <v>264</v>
      </c>
      <c r="B277" s="141">
        <f t="shared" si="20"/>
        <v>1370004.4240972674</v>
      </c>
      <c r="C277" s="141">
        <f t="shared" si="21"/>
        <v>6073.686280164552</v>
      </c>
      <c r="D277" s="141">
        <f t="shared" si="22"/>
        <v>11334.711127716735</v>
      </c>
      <c r="E277" s="141">
        <f t="shared" si="23"/>
        <v>17408.397407881286</v>
      </c>
      <c r="F277" s="141">
        <f t="shared" si="24"/>
        <v>1358669.7129695506</v>
      </c>
    </row>
    <row r="278" spans="1:6" x14ac:dyDescent="0.2">
      <c r="A278" s="146">
        <v>265</v>
      </c>
      <c r="B278" s="141">
        <f t="shared" si="20"/>
        <v>1358669.7129695506</v>
      </c>
      <c r="C278" s="141">
        <f t="shared" si="21"/>
        <v>6023.4357274983413</v>
      </c>
      <c r="D278" s="141">
        <f t="shared" si="22"/>
        <v>11384.961680382945</v>
      </c>
      <c r="E278" s="141">
        <f t="shared" si="23"/>
        <v>17408.397407881286</v>
      </c>
      <c r="F278" s="141">
        <f t="shared" si="24"/>
        <v>1347284.7512891677</v>
      </c>
    </row>
    <row r="279" spans="1:6" x14ac:dyDescent="0.2">
      <c r="A279" s="146">
        <v>266</v>
      </c>
      <c r="B279" s="141">
        <f t="shared" si="20"/>
        <v>1347284.7512891677</v>
      </c>
      <c r="C279" s="141">
        <f t="shared" si="21"/>
        <v>5972.9623973819771</v>
      </c>
      <c r="D279" s="141">
        <f t="shared" si="22"/>
        <v>11435.43501049931</v>
      </c>
      <c r="E279" s="141">
        <f t="shared" si="23"/>
        <v>17408.397407881286</v>
      </c>
      <c r="F279" s="141">
        <f t="shared" si="24"/>
        <v>1335849.3162786684</v>
      </c>
    </row>
    <row r="280" spans="1:6" x14ac:dyDescent="0.2">
      <c r="A280" s="146">
        <v>267</v>
      </c>
      <c r="B280" s="141">
        <f t="shared" si="20"/>
        <v>1335849.3162786684</v>
      </c>
      <c r="C280" s="141">
        <f t="shared" si="21"/>
        <v>5922.2653021687629</v>
      </c>
      <c r="D280" s="141">
        <f t="shared" si="22"/>
        <v>11486.132105712524</v>
      </c>
      <c r="E280" s="141">
        <f t="shared" si="23"/>
        <v>17408.397407881286</v>
      </c>
      <c r="F280" s="141">
        <f t="shared" si="24"/>
        <v>1324363.1841729558</v>
      </c>
    </row>
    <row r="281" spans="1:6" x14ac:dyDescent="0.2">
      <c r="A281" s="146">
        <v>268</v>
      </c>
      <c r="B281" s="141">
        <f t="shared" si="20"/>
        <v>1324363.1841729558</v>
      </c>
      <c r="C281" s="141">
        <f t="shared" si="21"/>
        <v>5871.3434498334373</v>
      </c>
      <c r="D281" s="141">
        <f t="shared" si="22"/>
        <v>11537.053958047849</v>
      </c>
      <c r="E281" s="141">
        <f t="shared" si="23"/>
        <v>17408.397407881286</v>
      </c>
      <c r="F281" s="141">
        <f t="shared" si="24"/>
        <v>1312826.1302149079</v>
      </c>
    </row>
    <row r="282" spans="1:6" x14ac:dyDescent="0.2">
      <c r="A282" s="146">
        <v>269</v>
      </c>
      <c r="B282" s="141">
        <f t="shared" si="20"/>
        <v>1312826.1302149079</v>
      </c>
      <c r="C282" s="141">
        <f t="shared" si="21"/>
        <v>5820.1958439527589</v>
      </c>
      <c r="D282" s="141">
        <f t="shared" si="22"/>
        <v>11588.201563928527</v>
      </c>
      <c r="E282" s="141">
        <f t="shared" si="23"/>
        <v>17408.397407881286</v>
      </c>
      <c r="F282" s="141">
        <f t="shared" si="24"/>
        <v>1301237.9286509794</v>
      </c>
    </row>
    <row r="283" spans="1:6" x14ac:dyDescent="0.2">
      <c r="A283" s="146">
        <v>270</v>
      </c>
      <c r="B283" s="141">
        <f t="shared" si="20"/>
        <v>1301237.9286509794</v>
      </c>
      <c r="C283" s="141">
        <f t="shared" si="21"/>
        <v>5768.8214836860088</v>
      </c>
      <c r="D283" s="141">
        <f t="shared" si="22"/>
        <v>11639.575924195276</v>
      </c>
      <c r="E283" s="141">
        <f t="shared" si="23"/>
        <v>17408.397407881286</v>
      </c>
      <c r="F283" s="141">
        <f t="shared" si="24"/>
        <v>1289598.3527267841</v>
      </c>
    </row>
    <row r="284" spans="1:6" x14ac:dyDescent="0.2">
      <c r="A284" s="146">
        <v>271</v>
      </c>
      <c r="B284" s="141">
        <f t="shared" si="20"/>
        <v>1289598.3527267841</v>
      </c>
      <c r="C284" s="141">
        <f t="shared" si="21"/>
        <v>5717.2193637554092</v>
      </c>
      <c r="D284" s="141">
        <f t="shared" si="22"/>
        <v>11691.178044125878</v>
      </c>
      <c r="E284" s="141">
        <f t="shared" si="23"/>
        <v>17408.397407881286</v>
      </c>
      <c r="F284" s="141">
        <f t="shared" si="24"/>
        <v>1277907.1746826582</v>
      </c>
    </row>
    <row r="285" spans="1:6" x14ac:dyDescent="0.2">
      <c r="A285" s="146">
        <v>272</v>
      </c>
      <c r="B285" s="141">
        <f t="shared" si="20"/>
        <v>1277907.1746826582</v>
      </c>
      <c r="C285" s="141">
        <f t="shared" si="21"/>
        <v>5665.3884744264515</v>
      </c>
      <c r="D285" s="141">
        <f t="shared" si="22"/>
        <v>11743.008933454836</v>
      </c>
      <c r="E285" s="141">
        <f t="shared" si="23"/>
        <v>17408.397407881286</v>
      </c>
      <c r="F285" s="141">
        <f t="shared" si="24"/>
        <v>1266164.1657492034</v>
      </c>
    </row>
    <row r="286" spans="1:6" x14ac:dyDescent="0.2">
      <c r="A286" s="146">
        <v>273</v>
      </c>
      <c r="B286" s="141">
        <f t="shared" si="20"/>
        <v>1266164.1657492034</v>
      </c>
      <c r="C286" s="141">
        <f t="shared" si="21"/>
        <v>5613.3278014881353</v>
      </c>
      <c r="D286" s="141">
        <f t="shared" si="22"/>
        <v>11795.06960639315</v>
      </c>
      <c r="E286" s="141">
        <f t="shared" si="23"/>
        <v>17408.397407881286</v>
      </c>
      <c r="F286" s="141">
        <f t="shared" si="24"/>
        <v>1254369.0961428103</v>
      </c>
    </row>
    <row r="287" spans="1:6" x14ac:dyDescent="0.2">
      <c r="A287" s="146">
        <v>274</v>
      </c>
      <c r="B287" s="141">
        <f t="shared" si="20"/>
        <v>1254369.0961428103</v>
      </c>
      <c r="C287" s="141">
        <f t="shared" si="21"/>
        <v>5561.0363262331257</v>
      </c>
      <c r="D287" s="141">
        <f t="shared" si="22"/>
        <v>11847.36108164816</v>
      </c>
      <c r="E287" s="141">
        <f t="shared" si="23"/>
        <v>17408.397407881286</v>
      </c>
      <c r="F287" s="141">
        <f t="shared" si="24"/>
        <v>1242521.7350611622</v>
      </c>
    </row>
    <row r="288" spans="1:6" x14ac:dyDescent="0.2">
      <c r="A288" s="146">
        <v>275</v>
      </c>
      <c r="B288" s="141">
        <f t="shared" si="20"/>
        <v>1242521.7350611622</v>
      </c>
      <c r="C288" s="141">
        <f t="shared" si="21"/>
        <v>5508.5130254378191</v>
      </c>
      <c r="D288" s="141">
        <f t="shared" si="22"/>
        <v>11899.884382443466</v>
      </c>
      <c r="E288" s="141">
        <f t="shared" si="23"/>
        <v>17408.397407881286</v>
      </c>
      <c r="F288" s="141">
        <f t="shared" si="24"/>
        <v>1230621.8506787186</v>
      </c>
    </row>
    <row r="289" spans="1:6" x14ac:dyDescent="0.2">
      <c r="A289" s="146">
        <v>276</v>
      </c>
      <c r="B289" s="141">
        <f t="shared" si="20"/>
        <v>1230621.8506787186</v>
      </c>
      <c r="C289" s="141">
        <f t="shared" si="21"/>
        <v>5455.7568713423198</v>
      </c>
      <c r="D289" s="141">
        <f t="shared" si="22"/>
        <v>11952.640536538966</v>
      </c>
      <c r="E289" s="141">
        <f t="shared" si="23"/>
        <v>17408.397407881286</v>
      </c>
      <c r="F289" s="141">
        <f t="shared" si="24"/>
        <v>1218669.2101421796</v>
      </c>
    </row>
    <row r="290" spans="1:6" x14ac:dyDescent="0.2">
      <c r="A290" s="146">
        <v>277</v>
      </c>
      <c r="B290" s="141">
        <f t="shared" si="20"/>
        <v>1218669.2101421796</v>
      </c>
      <c r="C290" s="141">
        <f t="shared" si="21"/>
        <v>5402.7668316303298</v>
      </c>
      <c r="D290" s="141">
        <f t="shared" si="22"/>
        <v>12005.630576250956</v>
      </c>
      <c r="E290" s="141">
        <f t="shared" si="23"/>
        <v>17408.397407881286</v>
      </c>
      <c r="F290" s="141">
        <f t="shared" si="24"/>
        <v>1206663.5795659288</v>
      </c>
    </row>
    <row r="291" spans="1:6" x14ac:dyDescent="0.2">
      <c r="A291" s="146">
        <v>278</v>
      </c>
      <c r="B291" s="141">
        <f t="shared" si="20"/>
        <v>1206663.5795659288</v>
      </c>
      <c r="C291" s="141">
        <f t="shared" si="21"/>
        <v>5349.5418694089512</v>
      </c>
      <c r="D291" s="141">
        <f t="shared" si="22"/>
        <v>12058.855538472335</v>
      </c>
      <c r="E291" s="141">
        <f t="shared" si="23"/>
        <v>17408.397407881286</v>
      </c>
      <c r="F291" s="141">
        <f t="shared" si="24"/>
        <v>1194604.7240274565</v>
      </c>
    </row>
    <row r="292" spans="1:6" x14ac:dyDescent="0.2">
      <c r="A292" s="146">
        <v>279</v>
      </c>
      <c r="B292" s="141">
        <f t="shared" si="20"/>
        <v>1194604.7240274565</v>
      </c>
      <c r="C292" s="141">
        <f t="shared" si="21"/>
        <v>5296.0809431883908</v>
      </c>
      <c r="D292" s="141">
        <f t="shared" si="22"/>
        <v>12112.316464692896</v>
      </c>
      <c r="E292" s="141">
        <f t="shared" si="23"/>
        <v>17408.397407881286</v>
      </c>
      <c r="F292" s="141">
        <f t="shared" si="24"/>
        <v>1182492.4075627637</v>
      </c>
    </row>
    <row r="293" spans="1:6" x14ac:dyDescent="0.2">
      <c r="A293" s="146">
        <v>280</v>
      </c>
      <c r="B293" s="141">
        <f t="shared" si="20"/>
        <v>1182492.4075627637</v>
      </c>
      <c r="C293" s="141">
        <f t="shared" si="21"/>
        <v>5242.3830068615853</v>
      </c>
      <c r="D293" s="141">
        <f t="shared" si="22"/>
        <v>12166.0144010197</v>
      </c>
      <c r="E293" s="141">
        <f t="shared" si="23"/>
        <v>17408.397407881286</v>
      </c>
      <c r="F293" s="141">
        <f t="shared" si="24"/>
        <v>1170326.3931617439</v>
      </c>
    </row>
    <row r="294" spans="1:6" x14ac:dyDescent="0.2">
      <c r="A294" s="146">
        <v>281</v>
      </c>
      <c r="B294" s="141">
        <f t="shared" si="20"/>
        <v>1170326.3931617439</v>
      </c>
      <c r="C294" s="141">
        <f t="shared" si="21"/>
        <v>5188.4470096837313</v>
      </c>
      <c r="D294" s="141">
        <f t="shared" si="22"/>
        <v>12219.950398197554</v>
      </c>
      <c r="E294" s="141">
        <f t="shared" si="23"/>
        <v>17408.397407881286</v>
      </c>
      <c r="F294" s="141">
        <f t="shared" si="24"/>
        <v>1158106.4427635462</v>
      </c>
    </row>
    <row r="295" spans="1:6" x14ac:dyDescent="0.2">
      <c r="A295" s="146">
        <v>282</v>
      </c>
      <c r="B295" s="141">
        <f t="shared" si="20"/>
        <v>1158106.4427635462</v>
      </c>
      <c r="C295" s="141">
        <f t="shared" si="21"/>
        <v>5134.271896251722</v>
      </c>
      <c r="D295" s="141">
        <f t="shared" si="22"/>
        <v>12274.125511629565</v>
      </c>
      <c r="E295" s="141">
        <f t="shared" si="23"/>
        <v>17408.397407881286</v>
      </c>
      <c r="F295" s="141">
        <f t="shared" si="24"/>
        <v>1145832.3172519167</v>
      </c>
    </row>
    <row r="296" spans="1:6" x14ac:dyDescent="0.2">
      <c r="A296" s="146">
        <v>283</v>
      </c>
      <c r="B296" s="141">
        <f t="shared" si="20"/>
        <v>1145832.3172519167</v>
      </c>
      <c r="C296" s="141">
        <f t="shared" si="21"/>
        <v>5079.8566064834977</v>
      </c>
      <c r="D296" s="141">
        <f t="shared" si="22"/>
        <v>12328.540801397789</v>
      </c>
      <c r="E296" s="141">
        <f t="shared" si="23"/>
        <v>17408.397407881286</v>
      </c>
      <c r="F296" s="141">
        <f t="shared" si="24"/>
        <v>1133503.776450519</v>
      </c>
    </row>
    <row r="297" spans="1:6" x14ac:dyDescent="0.2">
      <c r="A297" s="146">
        <v>284</v>
      </c>
      <c r="B297" s="141">
        <f t="shared" si="20"/>
        <v>1133503.776450519</v>
      </c>
      <c r="C297" s="141">
        <f t="shared" si="21"/>
        <v>5025.2000755973013</v>
      </c>
      <c r="D297" s="141">
        <f t="shared" si="22"/>
        <v>12383.197332283984</v>
      </c>
      <c r="E297" s="141">
        <f t="shared" si="23"/>
        <v>17408.397407881286</v>
      </c>
      <c r="F297" s="141">
        <f t="shared" si="24"/>
        <v>1121120.579118235</v>
      </c>
    </row>
    <row r="298" spans="1:6" x14ac:dyDescent="0.2">
      <c r="A298" s="146">
        <v>285</v>
      </c>
      <c r="B298" s="141">
        <f t="shared" si="20"/>
        <v>1121120.579118235</v>
      </c>
      <c r="C298" s="141">
        <f t="shared" si="21"/>
        <v>4970.3012340908417</v>
      </c>
      <c r="D298" s="141">
        <f t="shared" si="22"/>
        <v>12438.096173790444</v>
      </c>
      <c r="E298" s="141">
        <f t="shared" si="23"/>
        <v>17408.397407881286</v>
      </c>
      <c r="F298" s="141">
        <f t="shared" si="24"/>
        <v>1108682.4829444445</v>
      </c>
    </row>
    <row r="299" spans="1:6" x14ac:dyDescent="0.2">
      <c r="A299" s="146">
        <v>286</v>
      </c>
      <c r="B299" s="141">
        <f t="shared" si="20"/>
        <v>1108682.4829444445</v>
      </c>
      <c r="C299" s="141">
        <f t="shared" si="21"/>
        <v>4915.1590077203709</v>
      </c>
      <c r="D299" s="141">
        <f t="shared" si="22"/>
        <v>12493.238400160915</v>
      </c>
      <c r="E299" s="141">
        <f t="shared" si="23"/>
        <v>17408.397407881286</v>
      </c>
      <c r="F299" s="141">
        <f t="shared" si="24"/>
        <v>1096189.2445442837</v>
      </c>
    </row>
    <row r="300" spans="1:6" x14ac:dyDescent="0.2">
      <c r="A300" s="146">
        <v>287</v>
      </c>
      <c r="B300" s="141">
        <f t="shared" si="20"/>
        <v>1096189.2445442837</v>
      </c>
      <c r="C300" s="141">
        <f t="shared" si="21"/>
        <v>4859.7723174796583</v>
      </c>
      <c r="D300" s="141">
        <f t="shared" si="22"/>
        <v>12548.625090401627</v>
      </c>
      <c r="E300" s="141">
        <f t="shared" si="23"/>
        <v>17408.397407881286</v>
      </c>
      <c r="F300" s="141">
        <f t="shared" si="24"/>
        <v>1083640.6194538821</v>
      </c>
    </row>
    <row r="301" spans="1:6" x14ac:dyDescent="0.2">
      <c r="A301" s="146">
        <v>288</v>
      </c>
      <c r="B301" s="141">
        <f t="shared" si="20"/>
        <v>1083640.6194538821</v>
      </c>
      <c r="C301" s="141">
        <f t="shared" si="21"/>
        <v>4804.1400795788777</v>
      </c>
      <c r="D301" s="141">
        <f t="shared" si="22"/>
        <v>12604.257328302408</v>
      </c>
      <c r="E301" s="141">
        <f t="shared" si="23"/>
        <v>17408.397407881286</v>
      </c>
      <c r="F301" s="141">
        <f t="shared" si="24"/>
        <v>1071036.3621255797</v>
      </c>
    </row>
    <row r="302" spans="1:6" x14ac:dyDescent="0.2">
      <c r="A302" s="146">
        <v>289</v>
      </c>
      <c r="B302" s="141">
        <f t="shared" si="20"/>
        <v>1071036.3621255797</v>
      </c>
      <c r="C302" s="141">
        <f t="shared" si="21"/>
        <v>4748.2612054234032</v>
      </c>
      <c r="D302" s="141">
        <f t="shared" si="22"/>
        <v>12660.136202457883</v>
      </c>
      <c r="E302" s="141">
        <f t="shared" si="23"/>
        <v>17408.397407881286</v>
      </c>
      <c r="F302" s="141">
        <f t="shared" si="24"/>
        <v>1058376.2259231219</v>
      </c>
    </row>
    <row r="303" spans="1:6" x14ac:dyDescent="0.2">
      <c r="A303" s="146">
        <v>290</v>
      </c>
      <c r="B303" s="141">
        <f t="shared" si="20"/>
        <v>1058376.2259231219</v>
      </c>
      <c r="C303" s="141">
        <f t="shared" si="21"/>
        <v>4692.1346015925074</v>
      </c>
      <c r="D303" s="141">
        <f t="shared" si="22"/>
        <v>12716.262806288778</v>
      </c>
      <c r="E303" s="141">
        <f t="shared" si="23"/>
        <v>17408.397407881286</v>
      </c>
      <c r="F303" s="141">
        <f t="shared" si="24"/>
        <v>1045659.9631168331</v>
      </c>
    </row>
    <row r="304" spans="1:6" x14ac:dyDescent="0.2">
      <c r="A304" s="146">
        <v>291</v>
      </c>
      <c r="B304" s="141">
        <f t="shared" si="20"/>
        <v>1045659.9631168331</v>
      </c>
      <c r="C304" s="141">
        <f t="shared" si="21"/>
        <v>4635.7591698179604</v>
      </c>
      <c r="D304" s="141">
        <f t="shared" si="22"/>
        <v>12772.638238063326</v>
      </c>
      <c r="E304" s="141">
        <f t="shared" si="23"/>
        <v>17408.397407881286</v>
      </c>
      <c r="F304" s="141">
        <f t="shared" si="24"/>
        <v>1032887.3248787698</v>
      </c>
    </row>
    <row r="305" spans="1:6" x14ac:dyDescent="0.2">
      <c r="A305" s="146">
        <v>292</v>
      </c>
      <c r="B305" s="141">
        <f t="shared" si="20"/>
        <v>1032887.3248787698</v>
      </c>
      <c r="C305" s="141">
        <f t="shared" si="21"/>
        <v>4579.1338069625463</v>
      </c>
      <c r="D305" s="141">
        <f t="shared" si="22"/>
        <v>12829.263600918741</v>
      </c>
      <c r="E305" s="141">
        <f t="shared" si="23"/>
        <v>17408.397407881286</v>
      </c>
      <c r="F305" s="141">
        <f t="shared" si="24"/>
        <v>1020058.0612778511</v>
      </c>
    </row>
    <row r="306" spans="1:6" x14ac:dyDescent="0.2">
      <c r="A306" s="146">
        <v>293</v>
      </c>
      <c r="B306" s="141">
        <f t="shared" si="20"/>
        <v>1020058.0612778511</v>
      </c>
      <c r="C306" s="141">
        <f t="shared" si="21"/>
        <v>4522.2574049984732</v>
      </c>
      <c r="D306" s="141">
        <f t="shared" si="22"/>
        <v>12886.140002882814</v>
      </c>
      <c r="E306" s="141">
        <f t="shared" si="23"/>
        <v>17408.397407881286</v>
      </c>
      <c r="F306" s="141">
        <f t="shared" si="24"/>
        <v>1007171.9212749683</v>
      </c>
    </row>
    <row r="307" spans="1:6" x14ac:dyDescent="0.2">
      <c r="A307" s="146">
        <v>294</v>
      </c>
      <c r="B307" s="141">
        <f t="shared" si="20"/>
        <v>1007171.9212749683</v>
      </c>
      <c r="C307" s="141">
        <f t="shared" si="21"/>
        <v>4465.1288509856931</v>
      </c>
      <c r="D307" s="141">
        <f t="shared" si="22"/>
        <v>12943.268556895593</v>
      </c>
      <c r="E307" s="141">
        <f t="shared" si="23"/>
        <v>17408.397407881286</v>
      </c>
      <c r="F307" s="141">
        <f t="shared" si="24"/>
        <v>994228.65271807276</v>
      </c>
    </row>
    <row r="308" spans="1:6" x14ac:dyDescent="0.2">
      <c r="A308" s="146">
        <v>295</v>
      </c>
      <c r="B308" s="141">
        <f t="shared" si="20"/>
        <v>994228.65271807276</v>
      </c>
      <c r="C308" s="141">
        <f t="shared" si="21"/>
        <v>4407.7470270501226</v>
      </c>
      <c r="D308" s="141">
        <f t="shared" si="22"/>
        <v>13000.650380831165</v>
      </c>
      <c r="E308" s="141">
        <f t="shared" si="23"/>
        <v>17408.397407881286</v>
      </c>
      <c r="F308" s="141">
        <f t="shared" si="24"/>
        <v>981228.00233724155</v>
      </c>
    </row>
    <row r="309" spans="1:6" x14ac:dyDescent="0.2">
      <c r="A309" s="146">
        <v>296</v>
      </c>
      <c r="B309" s="141">
        <f t="shared" si="20"/>
        <v>981228.00233724155</v>
      </c>
      <c r="C309" s="141">
        <f t="shared" si="21"/>
        <v>4350.1108103617707</v>
      </c>
      <c r="D309" s="141">
        <f t="shared" si="22"/>
        <v>13058.286597519516</v>
      </c>
      <c r="E309" s="141">
        <f t="shared" si="23"/>
        <v>17408.397407881286</v>
      </c>
      <c r="F309" s="141">
        <f t="shared" si="24"/>
        <v>968169.71573972201</v>
      </c>
    </row>
    <row r="310" spans="1:6" x14ac:dyDescent="0.2">
      <c r="A310" s="146">
        <v>297</v>
      </c>
      <c r="B310" s="141">
        <f t="shared" si="20"/>
        <v>968169.71573972201</v>
      </c>
      <c r="C310" s="141">
        <f t="shared" si="21"/>
        <v>4292.2190731127675</v>
      </c>
      <c r="D310" s="141">
        <f t="shared" si="22"/>
        <v>13116.17833476852</v>
      </c>
      <c r="E310" s="141">
        <f t="shared" si="23"/>
        <v>17408.397407881286</v>
      </c>
      <c r="F310" s="141">
        <f t="shared" si="24"/>
        <v>955053.5374049535</v>
      </c>
    </row>
    <row r="311" spans="1:6" x14ac:dyDescent="0.2">
      <c r="A311" s="146">
        <v>298</v>
      </c>
      <c r="B311" s="141">
        <f t="shared" si="20"/>
        <v>955053.5374049535</v>
      </c>
      <c r="C311" s="141">
        <f t="shared" si="21"/>
        <v>4234.070682495294</v>
      </c>
      <c r="D311" s="141">
        <f t="shared" si="22"/>
        <v>13174.326725385992</v>
      </c>
      <c r="E311" s="141">
        <f t="shared" si="23"/>
        <v>17408.397407881286</v>
      </c>
      <c r="F311" s="141">
        <f t="shared" si="24"/>
        <v>941879.21067956754</v>
      </c>
    </row>
    <row r="312" spans="1:6" x14ac:dyDescent="0.2">
      <c r="A312" s="146">
        <v>299</v>
      </c>
      <c r="B312" s="141">
        <f t="shared" si="20"/>
        <v>941879.21067956754</v>
      </c>
      <c r="C312" s="141">
        <f t="shared" si="21"/>
        <v>4175.6645006794161</v>
      </c>
      <c r="D312" s="141">
        <f t="shared" si="22"/>
        <v>13232.732907201869</v>
      </c>
      <c r="E312" s="141">
        <f t="shared" si="23"/>
        <v>17408.397407881286</v>
      </c>
      <c r="F312" s="141">
        <f t="shared" si="24"/>
        <v>928646.47777236567</v>
      </c>
    </row>
    <row r="313" spans="1:6" x14ac:dyDescent="0.2">
      <c r="A313" s="146">
        <v>300</v>
      </c>
      <c r="B313" s="141">
        <f t="shared" si="20"/>
        <v>928646.47777236567</v>
      </c>
      <c r="C313" s="141">
        <f t="shared" si="21"/>
        <v>4116.9993847908208</v>
      </c>
      <c r="D313" s="141">
        <f t="shared" si="22"/>
        <v>13291.398023090465</v>
      </c>
      <c r="E313" s="141">
        <f t="shared" si="23"/>
        <v>17408.397407881286</v>
      </c>
      <c r="F313" s="141">
        <f t="shared" si="24"/>
        <v>915355.07974927523</v>
      </c>
    </row>
    <row r="314" spans="1:6" x14ac:dyDescent="0.2">
      <c r="A314" s="146">
        <f>A313+1</f>
        <v>301</v>
      </c>
      <c r="B314" s="141">
        <f t="shared" si="20"/>
        <v>915355.07974927523</v>
      </c>
      <c r="C314" s="141">
        <f t="shared" si="21"/>
        <v>4058.0741868884534</v>
      </c>
      <c r="D314" s="141">
        <f t="shared" si="22"/>
        <v>13350.323220992832</v>
      </c>
      <c r="E314" s="141">
        <f t="shared" si="23"/>
        <v>17408.397407881286</v>
      </c>
      <c r="F314" s="141">
        <f t="shared" si="24"/>
        <v>902004.75652828242</v>
      </c>
    </row>
    <row r="315" spans="1:6" x14ac:dyDescent="0.2">
      <c r="A315" s="146">
        <f t="shared" ref="A315:A373" si="25">A314+1</f>
        <v>302</v>
      </c>
      <c r="B315" s="141">
        <f t="shared" si="20"/>
        <v>902004.75652828242</v>
      </c>
      <c r="C315" s="141">
        <f t="shared" si="21"/>
        <v>3998.8877539420523</v>
      </c>
      <c r="D315" s="141">
        <f t="shared" si="22"/>
        <v>13409.509653939234</v>
      </c>
      <c r="E315" s="141">
        <f t="shared" si="23"/>
        <v>17408.397407881286</v>
      </c>
      <c r="F315" s="141">
        <f t="shared" si="24"/>
        <v>888595.24687434314</v>
      </c>
    </row>
    <row r="316" spans="1:6" x14ac:dyDescent="0.2">
      <c r="A316" s="146">
        <f t="shared" si="25"/>
        <v>303</v>
      </c>
      <c r="B316" s="141">
        <f t="shared" si="20"/>
        <v>888595.24687434314</v>
      </c>
      <c r="C316" s="141">
        <f t="shared" si="21"/>
        <v>3939.4389278095878</v>
      </c>
      <c r="D316" s="141">
        <f t="shared" si="22"/>
        <v>13468.958480071698</v>
      </c>
      <c r="E316" s="141">
        <f t="shared" si="23"/>
        <v>17408.397407881286</v>
      </c>
      <c r="F316" s="141">
        <f t="shared" si="24"/>
        <v>875126.2883942714</v>
      </c>
    </row>
    <row r="317" spans="1:6" x14ac:dyDescent="0.2">
      <c r="A317" s="146">
        <f t="shared" si="25"/>
        <v>304</v>
      </c>
      <c r="B317" s="141">
        <f t="shared" si="20"/>
        <v>875126.2883942714</v>
      </c>
      <c r="C317" s="141">
        <f t="shared" si="21"/>
        <v>3879.7265452146034</v>
      </c>
      <c r="D317" s="141">
        <f t="shared" si="22"/>
        <v>13528.670862666682</v>
      </c>
      <c r="E317" s="141">
        <f t="shared" si="23"/>
        <v>17408.397407881286</v>
      </c>
      <c r="F317" s="141">
        <f t="shared" si="24"/>
        <v>861597.61753160472</v>
      </c>
    </row>
    <row r="318" spans="1:6" x14ac:dyDescent="0.2">
      <c r="A318" s="146">
        <f t="shared" si="25"/>
        <v>305</v>
      </c>
      <c r="B318" s="141">
        <f t="shared" si="20"/>
        <v>861597.61753160472</v>
      </c>
      <c r="C318" s="141">
        <f t="shared" si="21"/>
        <v>3819.7494377234475</v>
      </c>
      <c r="D318" s="141">
        <f t="shared" si="22"/>
        <v>13588.647970157839</v>
      </c>
      <c r="E318" s="141">
        <f t="shared" si="23"/>
        <v>17408.397407881286</v>
      </c>
      <c r="F318" s="141">
        <f t="shared" si="24"/>
        <v>848008.96956144692</v>
      </c>
    </row>
    <row r="319" spans="1:6" x14ac:dyDescent="0.2">
      <c r="A319" s="146">
        <f t="shared" si="25"/>
        <v>306</v>
      </c>
      <c r="B319" s="141">
        <f t="shared" si="20"/>
        <v>848008.96956144692</v>
      </c>
      <c r="C319" s="141">
        <f t="shared" si="21"/>
        <v>3759.5064317224146</v>
      </c>
      <c r="D319" s="141">
        <f t="shared" si="22"/>
        <v>13648.890976158871</v>
      </c>
      <c r="E319" s="141">
        <f t="shared" si="23"/>
        <v>17408.397407881286</v>
      </c>
      <c r="F319" s="141">
        <f t="shared" si="24"/>
        <v>834360.07858528802</v>
      </c>
    </row>
    <row r="320" spans="1:6" x14ac:dyDescent="0.2">
      <c r="A320" s="146">
        <f t="shared" si="25"/>
        <v>307</v>
      </c>
      <c r="B320" s="141">
        <f t="shared" si="20"/>
        <v>834360.07858528802</v>
      </c>
      <c r="C320" s="141">
        <f t="shared" si="21"/>
        <v>3698.9963483947768</v>
      </c>
      <c r="D320" s="141">
        <f t="shared" si="22"/>
        <v>13709.40105948651</v>
      </c>
      <c r="E320" s="141">
        <f t="shared" si="23"/>
        <v>17408.397407881286</v>
      </c>
      <c r="F320" s="141">
        <f t="shared" si="24"/>
        <v>820650.67752580147</v>
      </c>
    </row>
    <row r="321" spans="1:6" x14ac:dyDescent="0.2">
      <c r="A321" s="146">
        <f t="shared" si="25"/>
        <v>308</v>
      </c>
      <c r="B321" s="141">
        <f t="shared" si="20"/>
        <v>820650.67752580147</v>
      </c>
      <c r="C321" s="141">
        <f t="shared" si="21"/>
        <v>3638.2180036977197</v>
      </c>
      <c r="D321" s="141">
        <f t="shared" si="22"/>
        <v>13770.179404183567</v>
      </c>
      <c r="E321" s="141">
        <f t="shared" si="23"/>
        <v>17408.397407881286</v>
      </c>
      <c r="F321" s="141">
        <f t="shared" si="24"/>
        <v>806880.49812161794</v>
      </c>
    </row>
    <row r="322" spans="1:6" x14ac:dyDescent="0.2">
      <c r="A322" s="146">
        <f t="shared" si="25"/>
        <v>309</v>
      </c>
      <c r="B322" s="141">
        <f t="shared" si="20"/>
        <v>806880.49812161794</v>
      </c>
      <c r="C322" s="141">
        <f t="shared" si="21"/>
        <v>3577.1702083391729</v>
      </c>
      <c r="D322" s="141">
        <f t="shared" si="22"/>
        <v>13831.227199542114</v>
      </c>
      <c r="E322" s="141">
        <f t="shared" si="23"/>
        <v>17408.397407881286</v>
      </c>
      <c r="F322" s="141">
        <f t="shared" si="24"/>
        <v>793049.27092207584</v>
      </c>
    </row>
    <row r="323" spans="1:6" x14ac:dyDescent="0.2">
      <c r="A323" s="146">
        <f t="shared" si="25"/>
        <v>310</v>
      </c>
      <c r="B323" s="141">
        <f t="shared" si="20"/>
        <v>793049.27092207584</v>
      </c>
      <c r="C323" s="141">
        <f t="shared" si="21"/>
        <v>3515.8517677545365</v>
      </c>
      <c r="D323" s="141">
        <f t="shared" si="22"/>
        <v>13892.545640126749</v>
      </c>
      <c r="E323" s="141">
        <f t="shared" si="23"/>
        <v>17408.397407881286</v>
      </c>
      <c r="F323" s="141">
        <f t="shared" si="24"/>
        <v>779156.72528194904</v>
      </c>
    </row>
    <row r="324" spans="1:6" x14ac:dyDescent="0.2">
      <c r="A324" s="146">
        <f t="shared" si="25"/>
        <v>311</v>
      </c>
      <c r="B324" s="141">
        <f t="shared" si="20"/>
        <v>779156.72528194904</v>
      </c>
      <c r="C324" s="141">
        <f t="shared" si="21"/>
        <v>3454.2614820833073</v>
      </c>
      <c r="D324" s="141">
        <f t="shared" si="22"/>
        <v>13954.135925797978</v>
      </c>
      <c r="E324" s="141">
        <f t="shared" si="23"/>
        <v>17408.397407881286</v>
      </c>
      <c r="F324" s="141">
        <f t="shared" si="24"/>
        <v>765202.58935615106</v>
      </c>
    </row>
    <row r="325" spans="1:6" x14ac:dyDescent="0.2">
      <c r="A325" s="146">
        <f t="shared" si="25"/>
        <v>312</v>
      </c>
      <c r="B325" s="141">
        <f t="shared" si="20"/>
        <v>765202.58935615106</v>
      </c>
      <c r="C325" s="141">
        <f t="shared" si="21"/>
        <v>3392.3981461456033</v>
      </c>
      <c r="D325" s="141">
        <f t="shared" si="22"/>
        <v>14015.999261735684</v>
      </c>
      <c r="E325" s="141">
        <f t="shared" si="23"/>
        <v>17408.397407881286</v>
      </c>
      <c r="F325" s="141">
        <f t="shared" si="24"/>
        <v>751186.59009441535</v>
      </c>
    </row>
    <row r="326" spans="1:6" x14ac:dyDescent="0.2">
      <c r="A326" s="146">
        <f t="shared" si="25"/>
        <v>313</v>
      </c>
      <c r="B326" s="141">
        <f t="shared" si="20"/>
        <v>751186.59009441535</v>
      </c>
      <c r="C326" s="141">
        <f t="shared" si="21"/>
        <v>3330.260549418575</v>
      </c>
      <c r="D326" s="141">
        <f t="shared" si="22"/>
        <v>14078.136858462711</v>
      </c>
      <c r="E326" s="141">
        <f t="shared" si="23"/>
        <v>17408.397407881286</v>
      </c>
      <c r="F326" s="141">
        <f t="shared" si="24"/>
        <v>737108.45323595265</v>
      </c>
    </row>
    <row r="327" spans="1:6" x14ac:dyDescent="0.2">
      <c r="A327" s="146">
        <f t="shared" si="25"/>
        <v>314</v>
      </c>
      <c r="B327" s="141">
        <f t="shared" si="20"/>
        <v>737108.45323595265</v>
      </c>
      <c r="C327" s="141">
        <f t="shared" si="21"/>
        <v>3267.8474760127233</v>
      </c>
      <c r="D327" s="141">
        <f t="shared" si="22"/>
        <v>14140.549931868563</v>
      </c>
      <c r="E327" s="141">
        <f t="shared" si="23"/>
        <v>17408.397407881286</v>
      </c>
      <c r="F327" s="141">
        <f t="shared" si="24"/>
        <v>722967.90330408409</v>
      </c>
    </row>
    <row r="328" spans="1:6" x14ac:dyDescent="0.2">
      <c r="A328" s="146">
        <f t="shared" si="25"/>
        <v>315</v>
      </c>
      <c r="B328" s="141">
        <f t="shared" si="20"/>
        <v>722967.90330408409</v>
      </c>
      <c r="C328" s="141">
        <f t="shared" si="21"/>
        <v>3205.1577046481061</v>
      </c>
      <c r="D328" s="141">
        <f t="shared" si="22"/>
        <v>14203.239703233179</v>
      </c>
      <c r="E328" s="141">
        <f t="shared" si="23"/>
        <v>17408.397407881286</v>
      </c>
      <c r="F328" s="141">
        <f t="shared" si="24"/>
        <v>708764.66360085085</v>
      </c>
    </row>
    <row r="329" spans="1:6" x14ac:dyDescent="0.2">
      <c r="A329" s="146">
        <f t="shared" si="25"/>
        <v>316</v>
      </c>
      <c r="B329" s="141">
        <f t="shared" si="20"/>
        <v>708764.66360085085</v>
      </c>
      <c r="C329" s="141">
        <f t="shared" si="21"/>
        <v>3142.190008630439</v>
      </c>
      <c r="D329" s="141">
        <f t="shared" si="22"/>
        <v>14266.207399250847</v>
      </c>
      <c r="E329" s="141">
        <f t="shared" si="23"/>
        <v>17408.397407881286</v>
      </c>
      <c r="F329" s="141">
        <f t="shared" si="24"/>
        <v>694498.45620160003</v>
      </c>
    </row>
    <row r="330" spans="1:6" x14ac:dyDescent="0.2">
      <c r="A330" s="146">
        <f t="shared" si="25"/>
        <v>317</v>
      </c>
      <c r="B330" s="141">
        <f t="shared" si="20"/>
        <v>694498.45620160003</v>
      </c>
      <c r="C330" s="141">
        <f t="shared" si="21"/>
        <v>3078.9431558270935</v>
      </c>
      <c r="D330" s="141">
        <f t="shared" si="22"/>
        <v>14329.454252054193</v>
      </c>
      <c r="E330" s="141">
        <f t="shared" si="23"/>
        <v>17408.397407881286</v>
      </c>
      <c r="F330" s="141">
        <f t="shared" si="24"/>
        <v>680169.00194954581</v>
      </c>
    </row>
    <row r="331" spans="1:6" x14ac:dyDescent="0.2">
      <c r="A331" s="146">
        <f t="shared" si="25"/>
        <v>318</v>
      </c>
      <c r="B331" s="141">
        <f t="shared" si="20"/>
        <v>680169.00194954581</v>
      </c>
      <c r="C331" s="141">
        <f t="shared" si="21"/>
        <v>3015.4159086429863</v>
      </c>
      <c r="D331" s="141">
        <f t="shared" si="22"/>
        <v>14392.9814992383</v>
      </c>
      <c r="E331" s="141">
        <f t="shared" si="23"/>
        <v>17408.397407881286</v>
      </c>
      <c r="F331" s="141">
        <f t="shared" si="24"/>
        <v>665776.02045030752</v>
      </c>
    </row>
    <row r="332" spans="1:6" x14ac:dyDescent="0.2">
      <c r="A332" s="146">
        <f t="shared" si="25"/>
        <v>319</v>
      </c>
      <c r="B332" s="141">
        <f t="shared" si="20"/>
        <v>665776.02045030752</v>
      </c>
      <c r="C332" s="141">
        <f t="shared" si="21"/>
        <v>2951.6070239963633</v>
      </c>
      <c r="D332" s="141">
        <f t="shared" si="22"/>
        <v>14456.790383884923</v>
      </c>
      <c r="E332" s="141">
        <f t="shared" si="23"/>
        <v>17408.397407881286</v>
      </c>
      <c r="F332" s="141">
        <f t="shared" si="24"/>
        <v>651319.23006642261</v>
      </c>
    </row>
    <row r="333" spans="1:6" x14ac:dyDescent="0.2">
      <c r="A333" s="146">
        <f t="shared" si="25"/>
        <v>320</v>
      </c>
      <c r="B333" s="141">
        <f t="shared" si="20"/>
        <v>651319.23006642261</v>
      </c>
      <c r="C333" s="141">
        <f t="shared" si="21"/>
        <v>2887.5152532944735</v>
      </c>
      <c r="D333" s="141">
        <f t="shared" si="22"/>
        <v>14520.882154586812</v>
      </c>
      <c r="E333" s="141">
        <f t="shared" si="23"/>
        <v>17408.397407881286</v>
      </c>
      <c r="F333" s="141">
        <f t="shared" si="24"/>
        <v>636798.34791183576</v>
      </c>
    </row>
    <row r="334" spans="1:6" x14ac:dyDescent="0.2">
      <c r="A334" s="146">
        <f t="shared" si="25"/>
        <v>321</v>
      </c>
      <c r="B334" s="141">
        <f t="shared" si="20"/>
        <v>636798.34791183576</v>
      </c>
      <c r="C334" s="141">
        <f t="shared" si="21"/>
        <v>2823.1393424091384</v>
      </c>
      <c r="D334" s="141">
        <f t="shared" si="22"/>
        <v>14585.258065472148</v>
      </c>
      <c r="E334" s="141">
        <f t="shared" si="23"/>
        <v>17408.397407881286</v>
      </c>
      <c r="F334" s="141">
        <f t="shared" si="24"/>
        <v>622213.08984636364</v>
      </c>
    </row>
    <row r="335" spans="1:6" x14ac:dyDescent="0.2">
      <c r="A335" s="146">
        <f t="shared" si="25"/>
        <v>322</v>
      </c>
      <c r="B335" s="141">
        <f t="shared" si="20"/>
        <v>622213.08984636364</v>
      </c>
      <c r="C335" s="141">
        <f t="shared" si="21"/>
        <v>2758.4780316522124</v>
      </c>
      <c r="D335" s="141">
        <f t="shared" si="22"/>
        <v>14649.919376229074</v>
      </c>
      <c r="E335" s="141">
        <f t="shared" si="23"/>
        <v>17408.397407881286</v>
      </c>
      <c r="F335" s="141">
        <f t="shared" si="24"/>
        <v>607563.17047013459</v>
      </c>
    </row>
    <row r="336" spans="1:6" x14ac:dyDescent="0.2">
      <c r="A336" s="146">
        <f t="shared" si="25"/>
        <v>323</v>
      </c>
      <c r="B336" s="141">
        <f t="shared" ref="B336:B373" si="26">F335</f>
        <v>607563.17047013459</v>
      </c>
      <c r="C336" s="141">
        <f t="shared" ref="C336:C373" si="27">B336*($B$3/12)</f>
        <v>2693.5300557509299</v>
      </c>
      <c r="D336" s="141">
        <f t="shared" ref="D336:D373" si="28">E336-C336</f>
        <v>14714.867352130357</v>
      </c>
      <c r="E336" s="141">
        <f t="shared" ref="E336:E373" si="29">PMT($B$3/12,$B$5*12,-$B$2)</f>
        <v>17408.397407881286</v>
      </c>
      <c r="F336" s="141">
        <f t="shared" ref="F336:F373" si="30">B336-D336</f>
        <v>592848.30311800423</v>
      </c>
    </row>
    <row r="337" spans="1:6" x14ac:dyDescent="0.2">
      <c r="A337" s="146">
        <f t="shared" si="25"/>
        <v>324</v>
      </c>
      <c r="B337" s="141">
        <f t="shared" si="26"/>
        <v>592848.30311800423</v>
      </c>
      <c r="C337" s="141">
        <f t="shared" si="27"/>
        <v>2628.2941438231524</v>
      </c>
      <c r="D337" s="141">
        <f t="shared" si="28"/>
        <v>14780.103264058134</v>
      </c>
      <c r="E337" s="141">
        <f t="shared" si="29"/>
        <v>17408.397407881286</v>
      </c>
      <c r="F337" s="141">
        <f t="shared" si="30"/>
        <v>578068.19985394611</v>
      </c>
    </row>
    <row r="338" spans="1:6" x14ac:dyDescent="0.2">
      <c r="A338" s="146">
        <f t="shared" si="25"/>
        <v>325</v>
      </c>
      <c r="B338" s="141">
        <f t="shared" si="26"/>
        <v>578068.19985394611</v>
      </c>
      <c r="C338" s="141">
        <f t="shared" si="27"/>
        <v>2562.7690193524945</v>
      </c>
      <c r="D338" s="141">
        <f t="shared" si="28"/>
        <v>14845.628388528792</v>
      </c>
      <c r="E338" s="141">
        <f t="shared" si="29"/>
        <v>17408.397407881286</v>
      </c>
      <c r="F338" s="141">
        <f t="shared" si="30"/>
        <v>563222.57146541728</v>
      </c>
    </row>
    <row r="339" spans="1:6" x14ac:dyDescent="0.2">
      <c r="A339" s="146">
        <f t="shared" si="25"/>
        <v>326</v>
      </c>
      <c r="B339" s="141">
        <f t="shared" si="26"/>
        <v>563222.57146541728</v>
      </c>
      <c r="C339" s="141">
        <f t="shared" si="27"/>
        <v>2496.9534001633501</v>
      </c>
      <c r="D339" s="141">
        <f t="shared" si="28"/>
        <v>14911.444007717935</v>
      </c>
      <c r="E339" s="141">
        <f t="shared" si="29"/>
        <v>17408.397407881286</v>
      </c>
      <c r="F339" s="141">
        <f t="shared" si="30"/>
        <v>548311.12745769939</v>
      </c>
    </row>
    <row r="340" spans="1:6" x14ac:dyDescent="0.2">
      <c r="A340" s="146">
        <f t="shared" si="25"/>
        <v>327</v>
      </c>
      <c r="B340" s="141">
        <f t="shared" si="26"/>
        <v>548311.12745769939</v>
      </c>
      <c r="C340" s="141">
        <f t="shared" si="27"/>
        <v>2430.8459983958005</v>
      </c>
      <c r="D340" s="141">
        <f t="shared" si="28"/>
        <v>14977.551409485486</v>
      </c>
      <c r="E340" s="141">
        <f t="shared" si="29"/>
        <v>17408.397407881286</v>
      </c>
      <c r="F340" s="141">
        <f t="shared" si="30"/>
        <v>533333.57604821387</v>
      </c>
    </row>
    <row r="341" spans="1:6" x14ac:dyDescent="0.2">
      <c r="A341" s="146">
        <f t="shared" si="25"/>
        <v>328</v>
      </c>
      <c r="B341" s="141">
        <f t="shared" si="26"/>
        <v>533333.57604821387</v>
      </c>
      <c r="C341" s="141">
        <f t="shared" si="27"/>
        <v>2364.4455204804149</v>
      </c>
      <c r="D341" s="141">
        <f t="shared" si="28"/>
        <v>15043.951887400872</v>
      </c>
      <c r="E341" s="141">
        <f t="shared" si="29"/>
        <v>17408.397407881286</v>
      </c>
      <c r="F341" s="141">
        <f t="shared" si="30"/>
        <v>518289.62416081299</v>
      </c>
    </row>
    <row r="342" spans="1:6" x14ac:dyDescent="0.2">
      <c r="A342" s="146">
        <f t="shared" si="25"/>
        <v>329</v>
      </c>
      <c r="B342" s="141">
        <f t="shared" si="26"/>
        <v>518289.62416081299</v>
      </c>
      <c r="C342" s="141">
        <f t="shared" si="27"/>
        <v>2297.7506671129377</v>
      </c>
      <c r="D342" s="141">
        <f t="shared" si="28"/>
        <v>15110.646740768349</v>
      </c>
      <c r="E342" s="141">
        <f t="shared" si="29"/>
        <v>17408.397407881286</v>
      </c>
      <c r="F342" s="141">
        <f t="shared" si="30"/>
        <v>503178.97742004466</v>
      </c>
    </row>
    <row r="343" spans="1:6" x14ac:dyDescent="0.2">
      <c r="A343" s="146">
        <f t="shared" si="25"/>
        <v>330</v>
      </c>
      <c r="B343" s="141">
        <f t="shared" si="26"/>
        <v>503178.97742004466</v>
      </c>
      <c r="C343" s="141">
        <f t="shared" si="27"/>
        <v>2230.7601332288646</v>
      </c>
      <c r="D343" s="141">
        <f t="shared" si="28"/>
        <v>15177.637274652421</v>
      </c>
      <c r="E343" s="141">
        <f t="shared" si="29"/>
        <v>17408.397407881286</v>
      </c>
      <c r="F343" s="141">
        <f t="shared" si="30"/>
        <v>488001.34014539223</v>
      </c>
    </row>
    <row r="344" spans="1:6" x14ac:dyDescent="0.2">
      <c r="A344" s="146">
        <f t="shared" si="25"/>
        <v>331</v>
      </c>
      <c r="B344" s="141">
        <f t="shared" si="26"/>
        <v>488001.34014539223</v>
      </c>
      <c r="C344" s="141">
        <f t="shared" si="27"/>
        <v>2163.4726079779057</v>
      </c>
      <c r="D344" s="141">
        <f t="shared" si="28"/>
        <v>15244.92479990338</v>
      </c>
      <c r="E344" s="141">
        <f t="shared" si="29"/>
        <v>17408.397407881286</v>
      </c>
      <c r="F344" s="141">
        <f t="shared" si="30"/>
        <v>472756.41534548887</v>
      </c>
    </row>
    <row r="345" spans="1:6" x14ac:dyDescent="0.2">
      <c r="A345" s="146">
        <f t="shared" si="25"/>
        <v>332</v>
      </c>
      <c r="B345" s="141">
        <f t="shared" si="26"/>
        <v>472756.41534548887</v>
      </c>
      <c r="C345" s="141">
        <f t="shared" si="27"/>
        <v>2095.8867746983342</v>
      </c>
      <c r="D345" s="141">
        <f t="shared" si="28"/>
        <v>15312.510633182952</v>
      </c>
      <c r="E345" s="141">
        <f t="shared" si="29"/>
        <v>17408.397407881286</v>
      </c>
      <c r="F345" s="141">
        <f t="shared" si="30"/>
        <v>457443.90471230593</v>
      </c>
    </row>
    <row r="346" spans="1:6" x14ac:dyDescent="0.2">
      <c r="A346" s="146">
        <f t="shared" si="25"/>
        <v>333</v>
      </c>
      <c r="B346" s="141">
        <f t="shared" si="26"/>
        <v>457443.90471230593</v>
      </c>
      <c r="C346" s="141">
        <f t="shared" si="27"/>
        <v>2028.0013108912231</v>
      </c>
      <c r="D346" s="141">
        <f t="shared" si="28"/>
        <v>15380.396096990064</v>
      </c>
      <c r="E346" s="141">
        <f t="shared" si="29"/>
        <v>17408.397407881286</v>
      </c>
      <c r="F346" s="141">
        <f t="shared" si="30"/>
        <v>442063.50861531589</v>
      </c>
    </row>
    <row r="347" spans="1:6" x14ac:dyDescent="0.2">
      <c r="A347" s="146">
        <f t="shared" si="25"/>
        <v>334</v>
      </c>
      <c r="B347" s="141">
        <f t="shared" si="26"/>
        <v>442063.50861531589</v>
      </c>
      <c r="C347" s="141">
        <f t="shared" si="27"/>
        <v>1959.8148881945672</v>
      </c>
      <c r="D347" s="141">
        <f t="shared" si="28"/>
        <v>15448.582519686719</v>
      </c>
      <c r="E347" s="141">
        <f t="shared" si="29"/>
        <v>17408.397407881286</v>
      </c>
      <c r="F347" s="141">
        <f t="shared" si="30"/>
        <v>426614.92609562917</v>
      </c>
    </row>
    <row r="348" spans="1:6" x14ac:dyDescent="0.2">
      <c r="A348" s="146">
        <f t="shared" si="25"/>
        <v>335</v>
      </c>
      <c r="B348" s="141">
        <f t="shared" si="26"/>
        <v>426614.92609562917</v>
      </c>
      <c r="C348" s="141">
        <f t="shared" si="27"/>
        <v>1891.3261723572894</v>
      </c>
      <c r="D348" s="141">
        <f t="shared" si="28"/>
        <v>15517.071235523998</v>
      </c>
      <c r="E348" s="141">
        <f t="shared" si="29"/>
        <v>17408.397407881286</v>
      </c>
      <c r="F348" s="141">
        <f t="shared" si="30"/>
        <v>411097.85486010514</v>
      </c>
    </row>
    <row r="349" spans="1:6" x14ac:dyDescent="0.2">
      <c r="A349" s="146">
        <f t="shared" si="25"/>
        <v>336</v>
      </c>
      <c r="B349" s="141">
        <f t="shared" si="26"/>
        <v>411097.85486010514</v>
      </c>
      <c r="C349" s="141">
        <f t="shared" si="27"/>
        <v>1822.5338232131328</v>
      </c>
      <c r="D349" s="141">
        <f t="shared" si="28"/>
        <v>15585.863584668154</v>
      </c>
      <c r="E349" s="141">
        <f t="shared" si="29"/>
        <v>17408.397407881286</v>
      </c>
      <c r="F349" s="141">
        <f t="shared" si="30"/>
        <v>395511.991275437</v>
      </c>
    </row>
    <row r="350" spans="1:6" x14ac:dyDescent="0.2">
      <c r="A350" s="146">
        <f t="shared" si="25"/>
        <v>337</v>
      </c>
      <c r="B350" s="141">
        <f t="shared" si="26"/>
        <v>395511.991275437</v>
      </c>
      <c r="C350" s="141">
        <f t="shared" si="27"/>
        <v>1753.4364946544374</v>
      </c>
      <c r="D350" s="141">
        <f t="shared" si="28"/>
        <v>15654.960913226849</v>
      </c>
      <c r="E350" s="141">
        <f t="shared" si="29"/>
        <v>17408.397407881286</v>
      </c>
      <c r="F350" s="141">
        <f t="shared" si="30"/>
        <v>379857.03036221018</v>
      </c>
    </row>
    <row r="351" spans="1:6" x14ac:dyDescent="0.2">
      <c r="A351" s="146">
        <f t="shared" si="25"/>
        <v>338</v>
      </c>
      <c r="B351" s="141">
        <f t="shared" si="26"/>
        <v>379857.03036221018</v>
      </c>
      <c r="C351" s="141">
        <f t="shared" si="27"/>
        <v>1684.0328346057984</v>
      </c>
      <c r="D351" s="141">
        <f t="shared" si="28"/>
        <v>15724.364573275489</v>
      </c>
      <c r="E351" s="141">
        <f t="shared" si="29"/>
        <v>17408.397407881286</v>
      </c>
      <c r="F351" s="141">
        <f t="shared" si="30"/>
        <v>364132.66578893468</v>
      </c>
    </row>
    <row r="352" spans="1:6" x14ac:dyDescent="0.2">
      <c r="A352" s="146">
        <f t="shared" si="25"/>
        <v>339</v>
      </c>
      <c r="B352" s="141">
        <f t="shared" si="26"/>
        <v>364132.66578893468</v>
      </c>
      <c r="C352" s="141">
        <f t="shared" si="27"/>
        <v>1614.3214849976105</v>
      </c>
      <c r="D352" s="141">
        <f t="shared" si="28"/>
        <v>15794.075922883676</v>
      </c>
      <c r="E352" s="141">
        <f t="shared" si="29"/>
        <v>17408.397407881286</v>
      </c>
      <c r="F352" s="141">
        <f t="shared" si="30"/>
        <v>348338.58986605098</v>
      </c>
    </row>
    <row r="353" spans="1:6" x14ac:dyDescent="0.2">
      <c r="A353" s="146">
        <f t="shared" si="25"/>
        <v>340</v>
      </c>
      <c r="B353" s="141">
        <f t="shared" si="26"/>
        <v>348338.58986605098</v>
      </c>
      <c r="C353" s="141">
        <f t="shared" si="27"/>
        <v>1544.3010817394927</v>
      </c>
      <c r="D353" s="141">
        <f t="shared" si="28"/>
        <v>15864.096326141793</v>
      </c>
      <c r="E353" s="141">
        <f t="shared" si="29"/>
        <v>17408.397407881286</v>
      </c>
      <c r="F353" s="141">
        <f t="shared" si="30"/>
        <v>332474.49353990919</v>
      </c>
    </row>
    <row r="354" spans="1:6" x14ac:dyDescent="0.2">
      <c r="A354" s="146">
        <f t="shared" si="25"/>
        <v>341</v>
      </c>
      <c r="B354" s="141">
        <f t="shared" si="26"/>
        <v>332474.49353990919</v>
      </c>
      <c r="C354" s="141">
        <f t="shared" si="27"/>
        <v>1473.9702546935973</v>
      </c>
      <c r="D354" s="141">
        <f t="shared" si="28"/>
        <v>15934.427153187689</v>
      </c>
      <c r="E354" s="141">
        <f t="shared" si="29"/>
        <v>17408.397407881286</v>
      </c>
      <c r="F354" s="141">
        <f t="shared" si="30"/>
        <v>316540.0663867215</v>
      </c>
    </row>
    <row r="355" spans="1:6" x14ac:dyDescent="0.2">
      <c r="A355" s="146">
        <f t="shared" si="25"/>
        <v>342</v>
      </c>
      <c r="B355" s="141">
        <f t="shared" si="26"/>
        <v>316540.0663867215</v>
      </c>
      <c r="C355" s="141">
        <f t="shared" si="27"/>
        <v>1403.3276276477986</v>
      </c>
      <c r="D355" s="141">
        <f t="shared" si="28"/>
        <v>16005.069780233487</v>
      </c>
      <c r="E355" s="141">
        <f t="shared" si="29"/>
        <v>17408.397407881286</v>
      </c>
      <c r="F355" s="141">
        <f t="shared" si="30"/>
        <v>300534.99660648801</v>
      </c>
    </row>
    <row r="356" spans="1:6" x14ac:dyDescent="0.2">
      <c r="A356" s="146">
        <f t="shared" si="25"/>
        <v>343</v>
      </c>
      <c r="B356" s="141">
        <f t="shared" si="26"/>
        <v>300534.99660648801</v>
      </c>
      <c r="C356" s="141">
        <f t="shared" si="27"/>
        <v>1332.3718182887635</v>
      </c>
      <c r="D356" s="141">
        <f t="shared" si="28"/>
        <v>16076.025589592522</v>
      </c>
      <c r="E356" s="141">
        <f t="shared" si="29"/>
        <v>17408.397407881286</v>
      </c>
      <c r="F356" s="141">
        <f t="shared" si="30"/>
        <v>284458.97101689549</v>
      </c>
    </row>
    <row r="357" spans="1:6" x14ac:dyDescent="0.2">
      <c r="A357" s="146">
        <f t="shared" si="25"/>
        <v>344</v>
      </c>
      <c r="B357" s="141">
        <f t="shared" si="26"/>
        <v>284458.97101689549</v>
      </c>
      <c r="C357" s="141">
        <f t="shared" si="27"/>
        <v>1261.1014381749033</v>
      </c>
      <c r="D357" s="141">
        <f t="shared" si="28"/>
        <v>16147.295969706383</v>
      </c>
      <c r="E357" s="141">
        <f t="shared" si="29"/>
        <v>17408.397407881286</v>
      </c>
      <c r="F357" s="141">
        <f t="shared" si="30"/>
        <v>268311.67504718911</v>
      </c>
    </row>
    <row r="358" spans="1:6" x14ac:dyDescent="0.2">
      <c r="A358" s="146">
        <f t="shared" si="25"/>
        <v>345</v>
      </c>
      <c r="B358" s="141">
        <f t="shared" si="26"/>
        <v>268311.67504718911</v>
      </c>
      <c r="C358" s="141">
        <f t="shared" si="27"/>
        <v>1189.5150927092052</v>
      </c>
      <c r="D358" s="141">
        <f t="shared" si="28"/>
        <v>16218.882315172081</v>
      </c>
      <c r="E358" s="141">
        <f t="shared" si="29"/>
        <v>17408.397407881286</v>
      </c>
      <c r="F358" s="141">
        <f t="shared" si="30"/>
        <v>252092.79273201703</v>
      </c>
    </row>
    <row r="359" spans="1:6" x14ac:dyDescent="0.2">
      <c r="A359" s="146">
        <f t="shared" si="25"/>
        <v>346</v>
      </c>
      <c r="B359" s="141">
        <f t="shared" si="26"/>
        <v>252092.79273201703</v>
      </c>
      <c r="C359" s="141">
        <f t="shared" si="27"/>
        <v>1117.6113811119421</v>
      </c>
      <c r="D359" s="141">
        <f t="shared" si="28"/>
        <v>16290.786026769343</v>
      </c>
      <c r="E359" s="141">
        <f t="shared" si="29"/>
        <v>17408.397407881286</v>
      </c>
      <c r="F359" s="141">
        <f t="shared" si="30"/>
        <v>235802.00670524768</v>
      </c>
    </row>
    <row r="360" spans="1:6" x14ac:dyDescent="0.2">
      <c r="A360" s="146">
        <f t="shared" si="25"/>
        <v>347</v>
      </c>
      <c r="B360" s="141">
        <f t="shared" si="26"/>
        <v>235802.00670524768</v>
      </c>
      <c r="C360" s="141">
        <f t="shared" si="27"/>
        <v>1045.3888963932648</v>
      </c>
      <c r="D360" s="141">
        <f t="shared" si="28"/>
        <v>16363.008511488022</v>
      </c>
      <c r="E360" s="141">
        <f t="shared" si="29"/>
        <v>17408.397407881286</v>
      </c>
      <c r="F360" s="141">
        <f t="shared" si="30"/>
        <v>219438.99819375965</v>
      </c>
    </row>
    <row r="361" spans="1:6" x14ac:dyDescent="0.2">
      <c r="A361" s="146">
        <f t="shared" si="25"/>
        <v>348</v>
      </c>
      <c r="B361" s="141">
        <f t="shared" si="26"/>
        <v>219438.99819375965</v>
      </c>
      <c r="C361" s="141">
        <f t="shared" si="27"/>
        <v>972.84622532566777</v>
      </c>
      <c r="D361" s="141">
        <f t="shared" si="28"/>
        <v>16435.551182555617</v>
      </c>
      <c r="E361" s="141">
        <f t="shared" si="29"/>
        <v>17408.397407881286</v>
      </c>
      <c r="F361" s="141">
        <f t="shared" si="30"/>
        <v>203003.44701120403</v>
      </c>
    </row>
    <row r="362" spans="1:6" x14ac:dyDescent="0.2">
      <c r="A362" s="146">
        <f t="shared" si="25"/>
        <v>349</v>
      </c>
      <c r="B362" s="141">
        <f t="shared" si="26"/>
        <v>203003.44701120403</v>
      </c>
      <c r="C362" s="141">
        <f t="shared" si="27"/>
        <v>899.9819484163379</v>
      </c>
      <c r="D362" s="141">
        <f t="shared" si="28"/>
        <v>16508.415459464948</v>
      </c>
      <c r="E362" s="141">
        <f t="shared" si="29"/>
        <v>17408.397407881286</v>
      </c>
      <c r="F362" s="141">
        <f t="shared" si="30"/>
        <v>186495.03155173908</v>
      </c>
    </row>
    <row r="363" spans="1:6" x14ac:dyDescent="0.2">
      <c r="A363" s="146">
        <f t="shared" si="25"/>
        <v>350</v>
      </c>
      <c r="B363" s="141">
        <f t="shared" si="26"/>
        <v>186495.03155173908</v>
      </c>
      <c r="C363" s="141">
        <f t="shared" si="27"/>
        <v>826.79463987937663</v>
      </c>
      <c r="D363" s="141">
        <f t="shared" si="28"/>
        <v>16581.602768001911</v>
      </c>
      <c r="E363" s="141">
        <f t="shared" si="29"/>
        <v>17408.397407881286</v>
      </c>
      <c r="F363" s="141">
        <f t="shared" si="30"/>
        <v>169913.42878373718</v>
      </c>
    </row>
    <row r="364" spans="1:6" x14ac:dyDescent="0.2">
      <c r="A364" s="146">
        <f t="shared" si="25"/>
        <v>351</v>
      </c>
      <c r="B364" s="141">
        <f t="shared" si="26"/>
        <v>169913.42878373718</v>
      </c>
      <c r="C364" s="141">
        <f t="shared" si="27"/>
        <v>753.28286760790149</v>
      </c>
      <c r="D364" s="141">
        <f t="shared" si="28"/>
        <v>16655.114540273386</v>
      </c>
      <c r="E364" s="141">
        <f t="shared" si="29"/>
        <v>17408.397407881286</v>
      </c>
      <c r="F364" s="141">
        <f t="shared" si="30"/>
        <v>153258.3142434638</v>
      </c>
    </row>
    <row r="365" spans="1:6" x14ac:dyDescent="0.2">
      <c r="A365" s="146">
        <f t="shared" si="25"/>
        <v>352</v>
      </c>
      <c r="B365" s="141">
        <f t="shared" si="26"/>
        <v>153258.3142434638</v>
      </c>
      <c r="C365" s="141">
        <f t="shared" si="27"/>
        <v>679.4451931460228</v>
      </c>
      <c r="D365" s="141">
        <f t="shared" si="28"/>
        <v>16728.952214735262</v>
      </c>
      <c r="E365" s="141">
        <f t="shared" si="29"/>
        <v>17408.397407881286</v>
      </c>
      <c r="F365" s="141">
        <f t="shared" si="30"/>
        <v>136529.36202872853</v>
      </c>
    </row>
    <row r="366" spans="1:6" x14ac:dyDescent="0.2">
      <c r="A366" s="146">
        <f t="shared" si="25"/>
        <v>353</v>
      </c>
      <c r="B366" s="141">
        <f t="shared" si="26"/>
        <v>136529.36202872853</v>
      </c>
      <c r="C366" s="141">
        <f t="shared" si="27"/>
        <v>605.28017166069651</v>
      </c>
      <c r="D366" s="141">
        <f t="shared" si="28"/>
        <v>16803.117236220591</v>
      </c>
      <c r="E366" s="141">
        <f t="shared" si="29"/>
        <v>17408.397407881286</v>
      </c>
      <c r="F366" s="141">
        <f t="shared" si="30"/>
        <v>119726.24479250793</v>
      </c>
    </row>
    <row r="367" spans="1:6" x14ac:dyDescent="0.2">
      <c r="A367" s="146">
        <f t="shared" si="25"/>
        <v>354</v>
      </c>
      <c r="B367" s="141">
        <f t="shared" si="26"/>
        <v>119726.24479250793</v>
      </c>
      <c r="C367" s="141">
        <f t="shared" si="27"/>
        <v>530.78635191345188</v>
      </c>
      <c r="D367" s="141">
        <f t="shared" si="28"/>
        <v>16877.611055967835</v>
      </c>
      <c r="E367" s="141">
        <f t="shared" si="29"/>
        <v>17408.397407881286</v>
      </c>
      <c r="F367" s="141">
        <f t="shared" si="30"/>
        <v>102848.6337365401</v>
      </c>
    </row>
    <row r="368" spans="1:6" x14ac:dyDescent="0.2">
      <c r="A368" s="146">
        <f t="shared" si="25"/>
        <v>355</v>
      </c>
      <c r="B368" s="141">
        <f t="shared" si="26"/>
        <v>102848.6337365401</v>
      </c>
      <c r="C368" s="141">
        <f t="shared" si="27"/>
        <v>455.96227623199445</v>
      </c>
      <c r="D368" s="141">
        <f t="shared" si="28"/>
        <v>16952.43513164929</v>
      </c>
      <c r="E368" s="141">
        <f t="shared" si="29"/>
        <v>17408.397407881286</v>
      </c>
      <c r="F368" s="141">
        <f t="shared" si="30"/>
        <v>85896.198604890815</v>
      </c>
    </row>
    <row r="369" spans="1:6" x14ac:dyDescent="0.2">
      <c r="A369" s="146">
        <f t="shared" si="25"/>
        <v>356</v>
      </c>
      <c r="B369" s="141">
        <f t="shared" si="26"/>
        <v>85896.198604890815</v>
      </c>
      <c r="C369" s="141">
        <f t="shared" si="27"/>
        <v>380.80648048168263</v>
      </c>
      <c r="D369" s="141">
        <f t="shared" si="28"/>
        <v>17027.590927399604</v>
      </c>
      <c r="E369" s="141">
        <f t="shared" si="29"/>
        <v>17408.397407881286</v>
      </c>
      <c r="F369" s="141">
        <f t="shared" si="30"/>
        <v>68868.607677491207</v>
      </c>
    </row>
    <row r="370" spans="1:6" x14ac:dyDescent="0.2">
      <c r="A370" s="146">
        <f t="shared" si="25"/>
        <v>357</v>
      </c>
      <c r="B370" s="141">
        <f t="shared" si="26"/>
        <v>68868.607677491207</v>
      </c>
      <c r="C370" s="141">
        <f t="shared" si="27"/>
        <v>305.31749403687769</v>
      </c>
      <c r="D370" s="141">
        <f t="shared" si="28"/>
        <v>17103.079913844409</v>
      </c>
      <c r="E370" s="141">
        <f t="shared" si="29"/>
        <v>17408.397407881286</v>
      </c>
      <c r="F370" s="141">
        <f t="shared" si="30"/>
        <v>51765.527763646794</v>
      </c>
    </row>
    <row r="371" spans="1:6" x14ac:dyDescent="0.2">
      <c r="A371" s="146">
        <f t="shared" si="25"/>
        <v>358</v>
      </c>
      <c r="B371" s="141">
        <f t="shared" si="26"/>
        <v>51765.527763646794</v>
      </c>
      <c r="C371" s="141">
        <f t="shared" si="27"/>
        <v>229.49383975216745</v>
      </c>
      <c r="D371" s="141">
        <f t="shared" si="28"/>
        <v>17178.903568129117</v>
      </c>
      <c r="E371" s="141">
        <f t="shared" si="29"/>
        <v>17408.397407881286</v>
      </c>
      <c r="F371" s="141">
        <f t="shared" si="30"/>
        <v>34586.624195517681</v>
      </c>
    </row>
    <row r="372" spans="1:6" x14ac:dyDescent="0.2">
      <c r="A372" s="146">
        <f t="shared" si="25"/>
        <v>359</v>
      </c>
      <c r="B372" s="141">
        <f t="shared" si="26"/>
        <v>34586.624195517681</v>
      </c>
      <c r="C372" s="141">
        <f t="shared" si="27"/>
        <v>153.33403393346171</v>
      </c>
      <c r="D372" s="141">
        <f t="shared" si="28"/>
        <v>17255.063373947825</v>
      </c>
      <c r="E372" s="141">
        <f t="shared" si="29"/>
        <v>17408.397407881286</v>
      </c>
      <c r="F372" s="141">
        <f t="shared" si="30"/>
        <v>17331.560821569856</v>
      </c>
    </row>
    <row r="373" spans="1:6" x14ac:dyDescent="0.2">
      <c r="A373" s="147">
        <f t="shared" si="25"/>
        <v>360</v>
      </c>
      <c r="B373" s="141">
        <f t="shared" si="26"/>
        <v>17331.560821569856</v>
      </c>
      <c r="C373" s="141">
        <f t="shared" si="27"/>
        <v>76.836586308959696</v>
      </c>
      <c r="D373" s="141">
        <f t="shared" si="28"/>
        <v>17331.560821572326</v>
      </c>
      <c r="E373" s="141">
        <f t="shared" si="29"/>
        <v>17408.397407881286</v>
      </c>
      <c r="F373" s="141">
        <f t="shared" si="30"/>
        <v>-2.4701876100152731E-9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 &amp; Cash Flow</vt:lpstr>
      <vt:lpstr>Rent Roll</vt:lpstr>
      <vt:lpstr>Sources &amp; Uses</vt:lpstr>
      <vt:lpstr>Debt Sizing</vt:lpstr>
      <vt:lpstr>Debt Amortization 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Jake Pesci</dc:creator>
  <cp:keywords/>
  <dc:description/>
  <cp:lastModifiedBy>Tanish Chanthan</cp:lastModifiedBy>
  <cp:revision/>
  <dcterms:created xsi:type="dcterms:W3CDTF">2023-06-08T12:12:42Z</dcterms:created>
  <dcterms:modified xsi:type="dcterms:W3CDTF">2026-10-03T02:30:22Z</dcterms:modified>
  <cp:category/>
  <cp:contentStatus/>
</cp:coreProperties>
</file>